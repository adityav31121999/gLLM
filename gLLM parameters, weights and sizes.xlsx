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lNq6a6BxiCjs/7/fTgT71+DbY+KLexH2i/+5m7PsdQ="/>
    </ext>
  </extLst>
</workbook>
</file>

<file path=xl/sharedStrings.xml><?xml version="1.0" encoding="utf-8"?>
<sst xmlns="http://schemas.openxmlformats.org/spreadsheetml/2006/main" count="145" uniqueCount="99">
  <si>
    <t>PARAMETERS AND ITS SIZE FOR TRAINING, USE AND MODEL FILE (approx.) through DCA</t>
  </si>
  <si>
    <t>For Calculation:</t>
  </si>
  <si>
    <t>NAME</t>
  </si>
  <si>
    <t>DIMS</t>
  </si>
  <si>
    <t>TOTAL VALUES</t>
  </si>
  <si>
    <t>SIZE</t>
  </si>
  <si>
    <t>UNIT</t>
  </si>
  <si>
    <t>DATA type</t>
  </si>
  <si>
    <t>float</t>
  </si>
  <si>
    <t>Description</t>
  </si>
  <si>
    <t>ATTENTION</t>
  </si>
  <si>
    <t>KdotQ</t>
  </si>
  <si>
    <t>MB</t>
  </si>
  <si>
    <t>bits</t>
  </si>
  <si>
    <t>MATRIX</t>
  </si>
  <si>
    <t>MK</t>
  </si>
  <si>
    <t>Bytes</t>
  </si>
  <si>
    <t>MQ</t>
  </si>
  <si>
    <t>Embedding</t>
  </si>
  <si>
    <t>&lt;- Based on Design Choice</t>
  </si>
  <si>
    <t>MH</t>
  </si>
  <si>
    <t>Layers (PAs)</t>
  </si>
  <si>
    <t>MV</t>
  </si>
  <si>
    <t>Blocks (CAs)</t>
  </si>
  <si>
    <t>MLP</t>
  </si>
  <si>
    <t>Hor</t>
  </si>
  <si>
    <t>Attention Per layer (AHs)</t>
  </si>
  <si>
    <t>Ver</t>
  </si>
  <si>
    <t>Layers of MLP</t>
  </si>
  <si>
    <t>Continuous Calculation for every head in full context</t>
  </si>
  <si>
    <t>KEYS</t>
  </si>
  <si>
    <t>Local Context</t>
  </si>
  <si>
    <t>&lt;- Context Window of single block</t>
  </si>
  <si>
    <t>QUERIES</t>
  </si>
  <si>
    <t>Feature Dimension</t>
  </si>
  <si>
    <t>&lt;- equal or twice of context window preferred, can be higher</t>
  </si>
  <si>
    <t>EV</t>
  </si>
  <si>
    <t>Number of MLP/Head</t>
  </si>
  <si>
    <t>Hlayers</t>
  </si>
  <si>
    <t>FULL Context</t>
  </si>
  <si>
    <t>&lt;- Context Window of transformer</t>
  </si>
  <si>
    <t>Activations</t>
  </si>
  <si>
    <t>Prompt Threshold</t>
  </si>
  <si>
    <t>&lt;- Maximum Tokens allowed for prompt (one fourth of local context)</t>
  </si>
  <si>
    <t>gweights (hor)</t>
  </si>
  <si>
    <t>gweights (ver)</t>
  </si>
  <si>
    <t>Complete Model Training Parameters and Size (one parallel is number of attention heads working in parallel)</t>
  </si>
  <si>
    <t>Attention</t>
  </si>
  <si>
    <t>Single Block</t>
  </si>
  <si>
    <t>One Parallel:</t>
  </si>
  <si>
    <t>Single Head</t>
  </si>
  <si>
    <t>Model:</t>
  </si>
  <si>
    <t>GB</t>
  </si>
  <si>
    <t>Partial Attention (Layer)</t>
  </si>
  <si>
    <t>Consecutive Heads</t>
  </si>
  <si>
    <t>Very Small</t>
  </si>
  <si>
    <t>tokForBlock</t>
  </si>
  <si>
    <t>Block (Complete Attention)</t>
  </si>
  <si>
    <t>Parallel PAs</t>
  </si>
  <si>
    <t>EVuse</t>
  </si>
  <si>
    <t>Transformer</t>
  </si>
  <si>
    <t>Multi or Single CA</t>
  </si>
  <si>
    <t>Tokens</t>
  </si>
  <si>
    <t>One Parallel</t>
  </si>
  <si>
    <t>Heads in parallel ops.</t>
  </si>
  <si>
    <t>1D</t>
  </si>
  <si>
    <t>CONNECTIONS</t>
  </si>
  <si>
    <t>Dense</t>
  </si>
  <si>
    <t>ID -&gt; EH, dh, dv, hor and ver input, output, expected</t>
  </si>
  <si>
    <t>TOTAL:</t>
  </si>
  <si>
    <t>COMBINED</t>
  </si>
  <si>
    <t>PARAMETERS</t>
  </si>
  <si>
    <t>SIZE (MB)</t>
  </si>
  <si>
    <t>SIZE (MiB)</t>
  </si>
  <si>
    <t>CACHE</t>
  </si>
  <si>
    <t>QK'</t>
  </si>
  <si>
    <t>QV</t>
  </si>
  <si>
    <t>MAT</t>
  </si>
  <si>
    <t>KH</t>
  </si>
  <si>
    <t>reduction by (%)</t>
  </si>
  <si>
    <t>FOR TRAINING</t>
  </si>
  <si>
    <t>1-inference/training</t>
  </si>
  <si>
    <t>FOR Inference</t>
  </si>
  <si>
    <t>TOTAL</t>
  </si>
  <si>
    <t>Retention</t>
  </si>
  <si>
    <t>EH</t>
  </si>
  <si>
    <t>For Model Use Parameters and Size</t>
  </si>
  <si>
    <t>Attention:</t>
  </si>
  <si>
    <t>In training a single block needs:</t>
  </si>
  <si>
    <t xml:space="preserve">For inference whole mechanism needs: </t>
  </si>
  <si>
    <t>For Trained Params:</t>
  </si>
  <si>
    <t>Model</t>
  </si>
  <si>
    <t>MATRIX WEIGHTS</t>
  </si>
  <si>
    <t>Key (K)</t>
  </si>
  <si>
    <t>Query (Q)</t>
  </si>
  <si>
    <t>Horizontal (H)</t>
  </si>
  <si>
    <t>Vertical (V)</t>
  </si>
  <si>
    <t>MLP WEIGHTS</t>
  </si>
  <si>
    <t>MODEL PARAMETERS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</si>
</sst>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000"/>
    <numFmt numFmtId="165" formatCode="0.00000000"/>
    <numFmt numFmtId="166" formatCode="0.000000"/>
    <numFmt numFmtId="167" formatCode="0.00000"/>
    <numFmt numFmtId="168" formatCode="0.000"/>
  </numFmts>
  <fonts count="9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Arial"/>
    </font>
    <font>
      <b/>
      <color theme="1"/>
      <name val="Arial"/>
    </font>
    <font/>
    <font>
      <i/>
      <color theme="1"/>
      <name val="Arial"/>
    </font>
    <font>
      <color rgb="FF000000"/>
      <name val="Arial"/>
    </font>
    <font>
      <color rgb="FFFF0000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2" fontId="2" numFmtId="0" xfId="0" applyAlignment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2" fillId="4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3" numFmtId="0" xfId="0" applyAlignment="1" applyBorder="1" applyFont="1">
      <alignment horizontal="right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 vertical="center"/>
    </xf>
    <xf borderId="5" fillId="0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6" fillId="0" fontId="4" numFmtId="0" xfId="0" applyBorder="1" applyFont="1"/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7" fillId="0" fontId="4" numFmtId="0" xfId="0" applyBorder="1" applyFont="1"/>
    <xf borderId="1" fillId="0" fontId="1" numFmtId="164" xfId="0" applyAlignment="1" applyBorder="1" applyFont="1" applyNumberFormat="1">
      <alignment horizontal="right" vertical="center"/>
    </xf>
    <xf borderId="1" fillId="2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right" vertical="center"/>
    </xf>
    <xf borderId="1" fillId="5" fontId="3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8" fillId="5" fontId="3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" fillId="6" fontId="3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6" fontId="3" numFmtId="165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1" fillId="6" fontId="1" numFmtId="165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7" fontId="3" numFmtId="165" xfId="0" applyAlignment="1" applyBorder="1" applyFont="1" applyNumberFormat="1">
      <alignment horizontal="right" vertical="center"/>
    </xf>
    <xf borderId="1" fillId="8" fontId="3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0" fontId="3" numFmtId="166" xfId="0" applyAlignment="1" applyBorder="1" applyFont="1" applyNumberFormat="1">
      <alignment horizontal="center" vertical="center"/>
    </xf>
    <xf borderId="1" fillId="10" fontId="3" numFmtId="167" xfId="0" applyAlignment="1" applyBorder="1" applyFont="1" applyNumberFormat="1">
      <alignment horizontal="right" vertical="center"/>
    </xf>
    <xf borderId="1" fillId="10" fontId="3" numFmtId="1" xfId="0" applyAlignment="1" applyBorder="1" applyFont="1" applyNumberFormat="1">
      <alignment horizontal="center" vertical="center"/>
    </xf>
    <xf borderId="1" fillId="5" fontId="3" numFmtId="166" xfId="0" applyAlignment="1" applyBorder="1" applyFont="1" applyNumberFormat="1">
      <alignment horizontal="center" vertical="center"/>
    </xf>
    <xf borderId="1" fillId="5" fontId="3" numFmtId="167" xfId="0" applyAlignment="1" applyBorder="1" applyFont="1" applyNumberFormat="1">
      <alignment horizontal="right" vertical="center"/>
    </xf>
    <xf borderId="1" fillId="3" fontId="1" numFmtId="0" xfId="0" applyAlignment="1" applyBorder="1" applyFont="1">
      <alignment horizontal="center" vertical="center"/>
    </xf>
    <xf borderId="1" fillId="3" fontId="3" numFmtId="166" xfId="0" applyAlignment="1" applyBorder="1" applyFont="1" applyNumberFormat="1">
      <alignment horizontal="center" vertical="center"/>
    </xf>
    <xf borderId="1" fillId="3" fontId="3" numFmtId="167" xfId="0" applyAlignment="1" applyBorder="1" applyFont="1" applyNumberFormat="1">
      <alignment horizontal="right" vertical="center"/>
    </xf>
    <xf borderId="8" fillId="5" fontId="3" numFmtId="0" xfId="0" applyAlignment="1" applyBorder="1" applyFont="1">
      <alignment horizontal="center" vertical="center"/>
    </xf>
    <xf borderId="1" fillId="0" fontId="3" numFmtId="168" xfId="0" applyAlignment="1" applyBorder="1" applyFont="1" applyNumberFormat="1">
      <alignment horizontal="right" vertical="center"/>
    </xf>
    <xf borderId="0" fillId="0" fontId="1" numFmtId="10" xfId="0" applyAlignment="1" applyFont="1" applyNumberFormat="1">
      <alignment horizontal="center" vertical="center"/>
    </xf>
    <xf borderId="2" fillId="5" fontId="3" numFmtId="0" xfId="0" applyAlignment="1" applyBorder="1" applyFont="1">
      <alignment horizontal="center" shrinkToFit="0" vertical="center" wrapText="1"/>
    </xf>
    <xf borderId="1" fillId="7" fontId="3" numFmtId="168" xfId="0" applyAlignment="1" applyBorder="1" applyFont="1" applyNumberFormat="1">
      <alignment horizontal="center" vertical="center"/>
    </xf>
    <xf borderId="0" fillId="0" fontId="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2.63"/>
    <col customWidth="1" min="3" max="3" width="10.88"/>
    <col customWidth="1" min="4" max="4" width="11.25"/>
    <col customWidth="1" min="5" max="5" width="11.13"/>
    <col customWidth="1" min="6" max="6" width="12.63"/>
    <col customWidth="1" min="10" max="10" width="22.63"/>
    <col customWidth="1" min="11" max="11" width="17.5"/>
    <col customWidth="1" min="13" max="13" width="15.38"/>
    <col customWidth="1" min="14" max="14" width="16.0"/>
    <col customWidth="1" min="15" max="15" width="19.5"/>
  </cols>
  <sheetData>
    <row r="1" ht="15.7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3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2"/>
      <c r="H3" s="1"/>
      <c r="I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 t="s">
        <v>1</v>
      </c>
      <c r="B4" s="5" t="s">
        <v>2</v>
      </c>
      <c r="C4" s="6" t="s">
        <v>3</v>
      </c>
      <c r="D4" s="7"/>
      <c r="E4" s="8"/>
      <c r="F4" s="5" t="s">
        <v>4</v>
      </c>
      <c r="G4" s="9" t="s">
        <v>5</v>
      </c>
      <c r="H4" s="5" t="s">
        <v>6</v>
      </c>
      <c r="I4" s="1"/>
      <c r="J4" s="10" t="s">
        <v>7</v>
      </c>
      <c r="K4" s="10" t="s">
        <v>8</v>
      </c>
      <c r="L4" s="11" t="s">
        <v>9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4" t="s">
        <v>10</v>
      </c>
      <c r="B5" s="12" t="s">
        <v>11</v>
      </c>
      <c r="C5" s="13">
        <f>K12</f>
        <v>1024</v>
      </c>
      <c r="D5" s="13">
        <f t="shared" ref="D5:D6" si="1">K12</f>
        <v>1024</v>
      </c>
      <c r="E5" s="13">
        <v>1.0</v>
      </c>
      <c r="F5" s="13">
        <f t="shared" ref="F5:F13" si="2">C5*D5*E5</f>
        <v>1048576</v>
      </c>
      <c r="G5" s="14">
        <f>F5*K6/(1024*1024)</f>
        <v>4</v>
      </c>
      <c r="H5" s="15" t="s">
        <v>12</v>
      </c>
      <c r="I5" s="1"/>
      <c r="J5" s="16" t="s">
        <v>13</v>
      </c>
      <c r="K5" s="17">
        <v>32.0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8" t="s">
        <v>14</v>
      </c>
      <c r="B6" s="12" t="s">
        <v>15</v>
      </c>
      <c r="C6" s="19">
        <f>K7</f>
        <v>64</v>
      </c>
      <c r="D6" s="20">
        <f t="shared" si="1"/>
        <v>2048</v>
      </c>
      <c r="E6" s="13">
        <v>1.0</v>
      </c>
      <c r="F6" s="13">
        <f t="shared" si="2"/>
        <v>131072</v>
      </c>
      <c r="G6" s="14">
        <f>F6*K6/(1024*1024)</f>
        <v>0.5</v>
      </c>
      <c r="H6" s="21"/>
      <c r="I6" s="1"/>
      <c r="J6" s="16" t="s">
        <v>16</v>
      </c>
      <c r="K6" s="22">
        <f>K5/8</f>
        <v>4</v>
      </c>
      <c r="L6" s="23"/>
      <c r="M6" s="23"/>
      <c r="N6" s="2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1"/>
      <c r="B7" s="12" t="s">
        <v>17</v>
      </c>
      <c r="C7" s="19">
        <f>K7</f>
        <v>64</v>
      </c>
      <c r="D7" s="20">
        <f>K13</f>
        <v>2048</v>
      </c>
      <c r="E7" s="13">
        <v>1.0</v>
      </c>
      <c r="F7" s="13">
        <f t="shared" si="2"/>
        <v>131072</v>
      </c>
      <c r="G7" s="14">
        <f>F7*K6/(1024*1024)</f>
        <v>0.5</v>
      </c>
      <c r="H7" s="21"/>
      <c r="I7" s="1"/>
      <c r="J7" s="24" t="s">
        <v>18</v>
      </c>
      <c r="K7" s="25">
        <v>64.0</v>
      </c>
      <c r="L7" s="26" t="s">
        <v>19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1"/>
      <c r="B8" s="12" t="s">
        <v>20</v>
      </c>
      <c r="C8" s="20">
        <f>K13</f>
        <v>2048</v>
      </c>
      <c r="D8" s="19">
        <f>K7</f>
        <v>64</v>
      </c>
      <c r="E8" s="13">
        <v>1.0</v>
      </c>
      <c r="F8" s="13">
        <f t="shared" si="2"/>
        <v>131072</v>
      </c>
      <c r="G8" s="14">
        <f>F8*K6/(1024*1024)</f>
        <v>0.5</v>
      </c>
      <c r="H8" s="21"/>
      <c r="I8" s="1"/>
      <c r="J8" s="24" t="s">
        <v>21</v>
      </c>
      <c r="K8" s="25">
        <v>8.0</v>
      </c>
      <c r="L8" s="23"/>
      <c r="M8" s="23"/>
      <c r="N8" s="2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7"/>
      <c r="B9" s="12" t="s">
        <v>22</v>
      </c>
      <c r="C9" s="20">
        <f>K13</f>
        <v>2048</v>
      </c>
      <c r="D9" s="19">
        <f>K7</f>
        <v>64</v>
      </c>
      <c r="E9" s="13">
        <v>1.0</v>
      </c>
      <c r="F9" s="13">
        <f t="shared" si="2"/>
        <v>131072</v>
      </c>
      <c r="G9" s="14">
        <f>F9*4/(1024*1024)</f>
        <v>0.5</v>
      </c>
      <c r="H9" s="21"/>
      <c r="I9" s="1"/>
      <c r="J9" s="24" t="s">
        <v>23</v>
      </c>
      <c r="K9" s="25">
        <v>4.0</v>
      </c>
      <c r="L9" s="23"/>
      <c r="M9" s="23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8" t="s">
        <v>24</v>
      </c>
      <c r="B10" s="12" t="s">
        <v>25</v>
      </c>
      <c r="C10" s="13">
        <f>K7</f>
        <v>64</v>
      </c>
      <c r="D10" s="13">
        <f>K7</f>
        <v>64</v>
      </c>
      <c r="E10" s="13">
        <f>K11-1</f>
        <v>3</v>
      </c>
      <c r="F10" s="13">
        <f t="shared" si="2"/>
        <v>12288</v>
      </c>
      <c r="G10" s="28">
        <f>F10*K6/(1024*1024)</f>
        <v>0.046875</v>
      </c>
      <c r="H10" s="21"/>
      <c r="I10" s="1"/>
      <c r="J10" s="24" t="s">
        <v>26</v>
      </c>
      <c r="K10" s="29">
        <v>16.0</v>
      </c>
      <c r="L10" s="23"/>
      <c r="M10" s="23"/>
      <c r="N10" s="2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7"/>
      <c r="B11" s="12" t="s">
        <v>27</v>
      </c>
      <c r="C11" s="13">
        <f>K7</f>
        <v>64</v>
      </c>
      <c r="D11" s="13">
        <f>K7</f>
        <v>64</v>
      </c>
      <c r="E11" s="13">
        <f>K11-1</f>
        <v>3</v>
      </c>
      <c r="F11" s="13">
        <f t="shared" si="2"/>
        <v>12288</v>
      </c>
      <c r="G11" s="28">
        <f>F11*K6/(1024*1024)</f>
        <v>0.046875</v>
      </c>
      <c r="H11" s="21"/>
      <c r="I11" s="1"/>
      <c r="J11" s="24" t="s">
        <v>28</v>
      </c>
      <c r="K11" s="29">
        <v>4.0</v>
      </c>
      <c r="L11" s="23"/>
      <c r="M11" s="23"/>
      <c r="N11" s="2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30" t="s">
        <v>29</v>
      </c>
      <c r="B12" s="12" t="s">
        <v>30</v>
      </c>
      <c r="C12" s="13">
        <f>K12</f>
        <v>1024</v>
      </c>
      <c r="D12" s="20">
        <f>K13</f>
        <v>2048</v>
      </c>
      <c r="E12" s="13">
        <v>1.0</v>
      </c>
      <c r="F12" s="13">
        <f t="shared" si="2"/>
        <v>2097152</v>
      </c>
      <c r="G12" s="14">
        <f>F12*K6/(1024*1024)</f>
        <v>8</v>
      </c>
      <c r="H12" s="21"/>
      <c r="I12" s="1"/>
      <c r="J12" s="31" t="s">
        <v>31</v>
      </c>
      <c r="K12" s="32">
        <v>1024.0</v>
      </c>
      <c r="L12" s="33" t="s">
        <v>32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1"/>
      <c r="B13" s="12" t="s">
        <v>33</v>
      </c>
      <c r="C13" s="13">
        <f>K12</f>
        <v>1024</v>
      </c>
      <c r="D13" s="20">
        <f>K13</f>
        <v>2048</v>
      </c>
      <c r="E13" s="13">
        <v>1.0</v>
      </c>
      <c r="F13" s="13">
        <f t="shared" si="2"/>
        <v>2097152</v>
      </c>
      <c r="G13" s="14">
        <f>F13*K6/(1024*1024)</f>
        <v>8</v>
      </c>
      <c r="H13" s="21"/>
      <c r="I13" s="1"/>
      <c r="J13" s="34" t="s">
        <v>34</v>
      </c>
      <c r="K13" s="20">
        <f>K12*2</f>
        <v>2048</v>
      </c>
      <c r="L13" s="33" t="s">
        <v>35</v>
      </c>
      <c r="M13" s="33"/>
      <c r="N13" s="33"/>
      <c r="O13" s="3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1"/>
      <c r="B14" s="12" t="s">
        <v>36</v>
      </c>
      <c r="C14" s="13">
        <f>K12</f>
        <v>1024</v>
      </c>
      <c r="D14" s="13">
        <f>K7</f>
        <v>64</v>
      </c>
      <c r="E14" s="13">
        <v>1.0</v>
      </c>
      <c r="F14" s="13">
        <f t="shared" ref="F14:F15" si="3">E14*D14*C14</f>
        <v>65536</v>
      </c>
      <c r="G14" s="14">
        <f>F14*K6/(1024*1024)</f>
        <v>0.25</v>
      </c>
      <c r="H14" s="21"/>
      <c r="I14" s="1"/>
      <c r="J14" s="10" t="s">
        <v>37</v>
      </c>
      <c r="K14" s="13">
        <v>2.0</v>
      </c>
      <c r="L14" s="23"/>
      <c r="M14" s="23"/>
      <c r="N14" s="2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1"/>
      <c r="B15" s="12" t="s">
        <v>38</v>
      </c>
      <c r="C15" s="13">
        <f>K7</f>
        <v>64</v>
      </c>
      <c r="D15" s="13">
        <f>K11</f>
        <v>4</v>
      </c>
      <c r="E15" s="13">
        <f>K14</f>
        <v>2</v>
      </c>
      <c r="F15" s="13">
        <f t="shared" si="3"/>
        <v>512</v>
      </c>
      <c r="G15" s="35">
        <f>F15*K6/(1024*1024)</f>
        <v>0.001953125</v>
      </c>
      <c r="H15" s="21"/>
      <c r="I15" s="1"/>
      <c r="J15" s="36" t="s">
        <v>39</v>
      </c>
      <c r="K15" s="37">
        <f>K12*K9</f>
        <v>4096</v>
      </c>
      <c r="L15" s="33" t="s">
        <v>40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1"/>
      <c r="B16" s="12" t="s">
        <v>41</v>
      </c>
      <c r="C16" s="13">
        <f>K7</f>
        <v>64</v>
      </c>
      <c r="D16" s="13">
        <f>K11</f>
        <v>4</v>
      </c>
      <c r="E16" s="13">
        <f>K14</f>
        <v>2</v>
      </c>
      <c r="F16" s="13">
        <f t="shared" ref="F16:F18" si="4">C16*D16*E16</f>
        <v>512</v>
      </c>
      <c r="G16" s="35">
        <f>F16*K6/(1024*1024)</f>
        <v>0.001953125</v>
      </c>
      <c r="H16" s="21"/>
      <c r="I16" s="1"/>
      <c r="J16" s="34" t="s">
        <v>42</v>
      </c>
      <c r="K16" s="13">
        <f>K12/4</f>
        <v>256</v>
      </c>
      <c r="L16" s="26" t="s">
        <v>43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1"/>
      <c r="B17" s="12" t="s">
        <v>44</v>
      </c>
      <c r="C17" s="13">
        <f>K7</f>
        <v>64</v>
      </c>
      <c r="D17" s="13">
        <f>K7</f>
        <v>64</v>
      </c>
      <c r="E17" s="13">
        <f>K11-1</f>
        <v>3</v>
      </c>
      <c r="F17" s="13">
        <f t="shared" si="4"/>
        <v>12288</v>
      </c>
      <c r="G17" s="35">
        <f>F17*K6/(1024*1024)</f>
        <v>0.046875</v>
      </c>
      <c r="H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7"/>
      <c r="B18" s="12" t="s">
        <v>45</v>
      </c>
      <c r="C18" s="13">
        <f>K7</f>
        <v>64</v>
      </c>
      <c r="D18" s="13">
        <f>K7</f>
        <v>64</v>
      </c>
      <c r="E18" s="13">
        <f>K11-1</f>
        <v>3</v>
      </c>
      <c r="F18" s="13">
        <f t="shared" si="4"/>
        <v>12288</v>
      </c>
      <c r="G18" s="35">
        <f>F18*K6/(1024*1024)</f>
        <v>0.046875</v>
      </c>
      <c r="H18" s="2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38" t="s">
        <v>46</v>
      </c>
      <c r="B19" s="39"/>
      <c r="C19" s="39"/>
      <c r="D19" s="40"/>
      <c r="E19" s="41" t="s">
        <v>47</v>
      </c>
      <c r="F19" s="42">
        <f t="shared" ref="F19:G19" si="5">sum(F5:F18)</f>
        <v>5882880</v>
      </c>
      <c r="G19" s="43">
        <f t="shared" si="5"/>
        <v>22.44140625</v>
      </c>
      <c r="H19" s="21"/>
      <c r="I19" s="44" t="s">
        <v>48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5"/>
      <c r="D20" s="46"/>
      <c r="E20" s="41" t="s">
        <v>49</v>
      </c>
      <c r="F20" s="42">
        <f>K8*F19</f>
        <v>47063040</v>
      </c>
      <c r="G20" s="47">
        <f>G19*K8</f>
        <v>179.53125</v>
      </c>
      <c r="H20" s="27"/>
      <c r="I20" s="1">
        <f>G20*K10/1024</f>
        <v>2.805175781</v>
      </c>
      <c r="J20" s="48" t="s">
        <v>10</v>
      </c>
      <c r="K20" s="1" t="s">
        <v>50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9"/>
      <c r="B21" s="50"/>
      <c r="C21" s="50"/>
      <c r="D21" s="51"/>
      <c r="E21" s="41" t="s">
        <v>51</v>
      </c>
      <c r="F21" s="42">
        <f>F19*K8*K9*K10</f>
        <v>3012034560</v>
      </c>
      <c r="G21" s="43">
        <f>G19*K8*K9*K10/1024</f>
        <v>11.22070313</v>
      </c>
      <c r="H21" s="10" t="s">
        <v>52</v>
      </c>
      <c r="I21" s="1"/>
      <c r="J21" s="48" t="s">
        <v>53</v>
      </c>
      <c r="K21" s="1" t="s">
        <v>54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8" t="s">
        <v>55</v>
      </c>
      <c r="B22" s="12" t="s">
        <v>56</v>
      </c>
      <c r="C22" s="52">
        <f>K12</f>
        <v>1024</v>
      </c>
      <c r="D22" s="52">
        <f>K7</f>
        <v>64</v>
      </c>
      <c r="E22" s="52">
        <f>K9</f>
        <v>4</v>
      </c>
      <c r="F22" s="52">
        <f>E22*D22*C22</f>
        <v>262144</v>
      </c>
      <c r="G22" s="53">
        <f>F22*K6/(1024*1024)</f>
        <v>1</v>
      </c>
      <c r="H22" s="54" t="s">
        <v>12</v>
      </c>
      <c r="I22" s="1"/>
      <c r="J22" s="48" t="s">
        <v>57</v>
      </c>
      <c r="K22" s="1" t="s">
        <v>58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1"/>
      <c r="B23" s="12" t="s">
        <v>59</v>
      </c>
      <c r="C23" s="52">
        <f>K12</f>
        <v>1024</v>
      </c>
      <c r="D23" s="52">
        <f>K7</f>
        <v>64</v>
      </c>
      <c r="E23" s="52">
        <f>1</f>
        <v>1</v>
      </c>
      <c r="F23" s="52">
        <f t="shared" ref="F23:F25" si="6">C23*D23*E23</f>
        <v>65536</v>
      </c>
      <c r="G23" s="53">
        <f>F23*K6/(1024*1024)</f>
        <v>0.25</v>
      </c>
      <c r="H23" s="21"/>
      <c r="I23" s="1"/>
      <c r="J23" s="48" t="s">
        <v>60</v>
      </c>
      <c r="K23" s="1" t="s">
        <v>61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1"/>
      <c r="B24" s="12" t="s">
        <v>62</v>
      </c>
      <c r="C24" s="52">
        <f>K12*K9</f>
        <v>4096</v>
      </c>
      <c r="D24" s="52">
        <f>K7</f>
        <v>64</v>
      </c>
      <c r="E24" s="52">
        <v>1.0</v>
      </c>
      <c r="F24" s="52">
        <f t="shared" si="6"/>
        <v>262144</v>
      </c>
      <c r="G24" s="53">
        <f>F24*K6/(1024*1024)</f>
        <v>1</v>
      </c>
      <c r="H24" s="21"/>
      <c r="I24" s="1"/>
      <c r="J24" s="48" t="s">
        <v>63</v>
      </c>
      <c r="K24" s="1" t="s">
        <v>64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7"/>
      <c r="B25" s="12" t="s">
        <v>65</v>
      </c>
      <c r="C25" s="52">
        <v>9.0</v>
      </c>
      <c r="D25" s="52">
        <f>K7</f>
        <v>64</v>
      </c>
      <c r="E25" s="52">
        <f>K10*K9*K8</f>
        <v>512</v>
      </c>
      <c r="F25" s="52">
        <f t="shared" si="6"/>
        <v>294912</v>
      </c>
      <c r="G25" s="53">
        <f>F25*K6/(1024*1024)</f>
        <v>1.125</v>
      </c>
      <c r="H25" s="27"/>
      <c r="I25" s="1"/>
      <c r="J25" s="48" t="s">
        <v>66</v>
      </c>
      <c r="K25" s="1" t="s">
        <v>67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8" t="s">
        <v>68</v>
      </c>
      <c r="E26" s="55" t="s">
        <v>69</v>
      </c>
      <c r="F26" s="56">
        <f>F21+F22+F24+F25+F23</f>
        <v>3012919296</v>
      </c>
      <c r="G26" s="57">
        <f>G21+((G22+G23+G24+G25)/1024)</f>
        <v>11.22399902</v>
      </c>
      <c r="H26" s="10" t="s">
        <v>52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 t="s">
        <v>1</v>
      </c>
      <c r="B29" s="5" t="s">
        <v>2</v>
      </c>
      <c r="C29" s="6" t="s">
        <v>3</v>
      </c>
      <c r="D29" s="7"/>
      <c r="E29" s="8"/>
      <c r="F29" s="5" t="s">
        <v>4</v>
      </c>
      <c r="G29" s="9" t="s">
        <v>5</v>
      </c>
      <c r="H29" s="5" t="s">
        <v>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" t="s">
        <v>10</v>
      </c>
      <c r="B30" s="12" t="s">
        <v>11</v>
      </c>
      <c r="C30" s="13">
        <f t="shared" ref="C30:E30" si="7">C5</f>
        <v>1024</v>
      </c>
      <c r="D30" s="13">
        <f t="shared" si="7"/>
        <v>1024</v>
      </c>
      <c r="E30" s="13">
        <f t="shared" si="7"/>
        <v>1</v>
      </c>
      <c r="F30" s="13">
        <f t="shared" ref="F30:F37" si="8">C30*D30*E30</f>
        <v>1048576</v>
      </c>
      <c r="G30" s="14">
        <f>F30*K6/(1024*1024)</f>
        <v>4</v>
      </c>
      <c r="H30" s="15" t="s">
        <v>12</v>
      </c>
      <c r="I30" s="1"/>
      <c r="J30" s="58" t="s">
        <v>70</v>
      </c>
      <c r="K30" s="59" t="s">
        <v>71</v>
      </c>
      <c r="L30" s="59" t="s">
        <v>72</v>
      </c>
      <c r="M30" s="59" t="s">
        <v>52</v>
      </c>
      <c r="N30" s="59" t="s">
        <v>73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8" t="s">
        <v>74</v>
      </c>
      <c r="B31" s="12" t="s">
        <v>75</v>
      </c>
      <c r="C31" s="13">
        <f>K7</f>
        <v>64</v>
      </c>
      <c r="D31" s="13">
        <f>K7</f>
        <v>64</v>
      </c>
      <c r="E31" s="13">
        <v>1.0</v>
      </c>
      <c r="F31" s="13">
        <f t="shared" si="8"/>
        <v>4096</v>
      </c>
      <c r="G31" s="35">
        <f>F31*K6/(1024*1024)</f>
        <v>0.015625</v>
      </c>
      <c r="H31" s="21"/>
      <c r="I31" s="1"/>
      <c r="J31" s="58" t="s">
        <v>24</v>
      </c>
      <c r="K31" s="60">
        <f t="shared" ref="K31:L31" si="9">sum(G55:G56)</f>
        <v>12582912</v>
      </c>
      <c r="L31" s="60">
        <f t="shared" si="9"/>
        <v>48</v>
      </c>
      <c r="M31" s="61">
        <f t="shared" ref="M31:M36" si="11">L31/1024</f>
        <v>0.046875</v>
      </c>
      <c r="N31" s="62">
        <f>K31*K6/(1000*1000)</f>
        <v>50.331648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1"/>
      <c r="B32" s="12" t="s">
        <v>76</v>
      </c>
      <c r="C32" s="13">
        <f>K7</f>
        <v>64</v>
      </c>
      <c r="D32" s="13">
        <f>K7</f>
        <v>64</v>
      </c>
      <c r="E32" s="13">
        <v>1.0</v>
      </c>
      <c r="F32" s="13">
        <f t="shared" si="8"/>
        <v>4096</v>
      </c>
      <c r="G32" s="35">
        <f>F32*K6/(1024*1024)</f>
        <v>0.015625</v>
      </c>
      <c r="H32" s="21"/>
      <c r="I32" s="1"/>
      <c r="J32" s="58" t="s">
        <v>77</v>
      </c>
      <c r="K32" s="60">
        <f t="shared" ref="K32:L32" si="10">sum(G51:G54)</f>
        <v>268435456</v>
      </c>
      <c r="L32" s="60">
        <f t="shared" si="10"/>
        <v>1024</v>
      </c>
      <c r="M32" s="63">
        <f t="shared" si="11"/>
        <v>1</v>
      </c>
      <c r="N32" s="62">
        <f>K32*K6/(1000*1000)</f>
        <v>1073.741824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7"/>
      <c r="B33" s="12" t="s">
        <v>78</v>
      </c>
      <c r="C33" s="13">
        <f>K7</f>
        <v>64</v>
      </c>
      <c r="D33" s="13">
        <f>K7</f>
        <v>64</v>
      </c>
      <c r="E33" s="13">
        <v>1.0</v>
      </c>
      <c r="F33" s="13">
        <f t="shared" si="8"/>
        <v>4096</v>
      </c>
      <c r="G33" s="35">
        <f>F33*K6/(1024*1024)</f>
        <v>0.015625</v>
      </c>
      <c r="H33" s="21"/>
      <c r="I33" s="1"/>
      <c r="J33" s="58" t="s">
        <v>74</v>
      </c>
      <c r="K33" s="60">
        <f t="shared" ref="K33:L33" si="12">sum(G57:G59)</f>
        <v>6291456</v>
      </c>
      <c r="L33" s="60">
        <f t="shared" si="12"/>
        <v>24</v>
      </c>
      <c r="M33" s="61">
        <f t="shared" si="11"/>
        <v>0.0234375</v>
      </c>
      <c r="N33" s="62">
        <f>K33*K6/(1000*1000)</f>
        <v>25.165824</v>
      </c>
      <c r="O33" s="1" t="s">
        <v>79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8" t="s">
        <v>24</v>
      </c>
      <c r="B34" s="12" t="s">
        <v>25</v>
      </c>
      <c r="C34" s="13">
        <f t="shared" ref="C34:D34" si="13">C10</f>
        <v>64</v>
      </c>
      <c r="D34" s="13">
        <f t="shared" si="13"/>
        <v>64</v>
      </c>
      <c r="E34" s="13">
        <f>K11</f>
        <v>4</v>
      </c>
      <c r="F34" s="13">
        <f t="shared" si="8"/>
        <v>16384</v>
      </c>
      <c r="G34" s="35">
        <f>F34*K6/(1024*1024)</f>
        <v>0.0625</v>
      </c>
      <c r="H34" s="21"/>
      <c r="I34" s="1"/>
      <c r="J34" s="58" t="s">
        <v>80</v>
      </c>
      <c r="K34" s="37">
        <f t="shared" ref="K34:L34" si="14">K31+K32</f>
        <v>281018368</v>
      </c>
      <c r="L34" s="36">
        <f t="shared" si="14"/>
        <v>1072</v>
      </c>
      <c r="M34" s="64">
        <f t="shared" si="11"/>
        <v>1.046875</v>
      </c>
      <c r="N34" s="65">
        <f>K34*K6/(1000*1000)</f>
        <v>1124.073472</v>
      </c>
      <c r="O34" s="1" t="s">
        <v>81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1"/>
      <c r="B35" s="12" t="s">
        <v>27</v>
      </c>
      <c r="C35" s="13">
        <f t="shared" ref="C35:D35" si="15">C11</f>
        <v>64</v>
      </c>
      <c r="D35" s="13">
        <f t="shared" si="15"/>
        <v>64</v>
      </c>
      <c r="E35" s="13">
        <f>K11</f>
        <v>4</v>
      </c>
      <c r="F35" s="13">
        <f t="shared" si="8"/>
        <v>16384</v>
      </c>
      <c r="G35" s="35">
        <f>F35*K6/(1024*1024)</f>
        <v>0.0625</v>
      </c>
      <c r="H35" s="21"/>
      <c r="I35" s="1"/>
      <c r="J35" s="58" t="s">
        <v>82</v>
      </c>
      <c r="K35" s="37">
        <f t="shared" ref="K35:L35" si="16">K31+K33</f>
        <v>18874368</v>
      </c>
      <c r="L35" s="36">
        <f t="shared" si="16"/>
        <v>72</v>
      </c>
      <c r="M35" s="64">
        <f t="shared" si="11"/>
        <v>0.0703125</v>
      </c>
      <c r="N35" s="65">
        <f>K35*K6/(1000*1000)</f>
        <v>75.497472</v>
      </c>
      <c r="O35" s="1">
        <f>(1-L35/L34)*100</f>
        <v>93.28358209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1"/>
      <c r="B36" s="12" t="s">
        <v>38</v>
      </c>
      <c r="C36" s="13">
        <f t="shared" ref="C36:D36" si="17">C15</f>
        <v>64</v>
      </c>
      <c r="D36" s="13">
        <f t="shared" si="17"/>
        <v>4</v>
      </c>
      <c r="E36" s="13">
        <f>K14</f>
        <v>2</v>
      </c>
      <c r="F36" s="13">
        <f t="shared" si="8"/>
        <v>512</v>
      </c>
      <c r="G36" s="35">
        <f>F36*K6/(1024*1024)</f>
        <v>0.001953125</v>
      </c>
      <c r="H36" s="21"/>
      <c r="I36" s="1"/>
      <c r="J36" s="58" t="s">
        <v>83</v>
      </c>
      <c r="K36" s="66">
        <f t="shared" ref="K36:L36" si="18">SUM(K31:K33)</f>
        <v>287309824</v>
      </c>
      <c r="L36" s="66">
        <f t="shared" si="18"/>
        <v>1096</v>
      </c>
      <c r="M36" s="67">
        <f t="shared" si="11"/>
        <v>1.0703125</v>
      </c>
      <c r="N36" s="68">
        <f>K36*K6/(1000*1000)</f>
        <v>1149.239296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7"/>
      <c r="B37" s="12" t="s">
        <v>41</v>
      </c>
      <c r="C37" s="13">
        <f t="shared" ref="C37:D37" si="19">C16</f>
        <v>64</v>
      </c>
      <c r="D37" s="13">
        <f t="shared" si="19"/>
        <v>4</v>
      </c>
      <c r="E37" s="13">
        <f>K14</f>
        <v>2</v>
      </c>
      <c r="F37" s="13">
        <f t="shared" si="8"/>
        <v>512</v>
      </c>
      <c r="G37" s="35">
        <f>F37*K6/(1024*1024)</f>
        <v>0.001953125</v>
      </c>
      <c r="H37" s="2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8" t="s">
        <v>84</v>
      </c>
      <c r="B38" s="12" t="s">
        <v>85</v>
      </c>
      <c r="C38" s="13">
        <f>K7</f>
        <v>64</v>
      </c>
      <c r="D38" s="13">
        <v>1.0</v>
      </c>
      <c r="E38" s="13">
        <v>1.0</v>
      </c>
      <c r="F38" s="13">
        <f>C38*E38</f>
        <v>64</v>
      </c>
      <c r="G38" s="35">
        <f>F38*K6/(1024*1024)</f>
        <v>0.000244140625</v>
      </c>
      <c r="H38" s="2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7"/>
      <c r="B39" s="12" t="s">
        <v>36</v>
      </c>
      <c r="C39" s="13">
        <f>K12</f>
        <v>1024</v>
      </c>
      <c r="D39" s="13">
        <f>K7</f>
        <v>64</v>
      </c>
      <c r="E39" s="13">
        <v>2.0</v>
      </c>
      <c r="F39" s="13">
        <f>C39*D39*E39</f>
        <v>131072</v>
      </c>
      <c r="G39" s="14">
        <f>F39*K6/(1024*1024)</f>
        <v>0.5</v>
      </c>
      <c r="H39" s="2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9" t="s">
        <v>86</v>
      </c>
      <c r="B40" s="39"/>
      <c r="C40" s="39"/>
      <c r="D40" s="40"/>
      <c r="E40" s="41" t="s">
        <v>87</v>
      </c>
      <c r="F40" s="42">
        <f>SUM(F30:F39)</f>
        <v>1225792</v>
      </c>
      <c r="G40" s="43">
        <f>F40*K6/(1024*1024)</f>
        <v>4.676025391</v>
      </c>
      <c r="H40" s="21"/>
      <c r="I40" s="1"/>
      <c r="K40" s="1"/>
      <c r="L40" s="1" t="s">
        <v>12</v>
      </c>
      <c r="M40" s="1" t="s">
        <v>79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/>
      <c r="D41" s="46"/>
      <c r="E41" s="41" t="s">
        <v>49</v>
      </c>
      <c r="F41" s="42">
        <f>K8*F40</f>
        <v>9806336</v>
      </c>
      <c r="G41" s="47">
        <f>8*G40</f>
        <v>37.40820313</v>
      </c>
      <c r="H41" s="27"/>
      <c r="I41" s="1"/>
      <c r="J41" s="1" t="s">
        <v>88</v>
      </c>
      <c r="L41" s="48">
        <f>G20*K10</f>
        <v>2872.5</v>
      </c>
      <c r="M41" s="1" t="s">
        <v>81</v>
      </c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9"/>
      <c r="B42" s="50"/>
      <c r="C42" s="50"/>
      <c r="D42" s="51"/>
      <c r="E42" s="41" t="s">
        <v>51</v>
      </c>
      <c r="F42" s="42">
        <f>F40*K8*K10</f>
        <v>156901376</v>
      </c>
      <c r="G42" s="43">
        <f>(G40*K8*K10)/1024</f>
        <v>0.5845031738</v>
      </c>
      <c r="H42" s="10" t="s">
        <v>52</v>
      </c>
      <c r="I42" s="1"/>
      <c r="J42" s="1" t="s">
        <v>89</v>
      </c>
      <c r="L42" s="48">
        <f>G47*1024</f>
        <v>600.875</v>
      </c>
      <c r="M42" s="1">
        <f> 100*(1-(L42/L41))</f>
        <v>79.08181027</v>
      </c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8" t="s">
        <v>55</v>
      </c>
      <c r="B43" s="12" t="s">
        <v>62</v>
      </c>
      <c r="C43" s="52">
        <v>1.0</v>
      </c>
      <c r="D43" s="52">
        <f>K7</f>
        <v>64</v>
      </c>
      <c r="E43" s="52">
        <f>K12*K9</f>
        <v>4096</v>
      </c>
      <c r="F43" s="52">
        <f>D43*E43*C43</f>
        <v>262144</v>
      </c>
      <c r="G43" s="53">
        <f>F43*K6/(1024*1024)</f>
        <v>1</v>
      </c>
      <c r="H43" s="54" t="s">
        <v>12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1"/>
      <c r="B44" s="12" t="s">
        <v>59</v>
      </c>
      <c r="C44" s="52">
        <f>K12</f>
        <v>1024</v>
      </c>
      <c r="D44" s="52">
        <f>K7</f>
        <v>64</v>
      </c>
      <c r="E44" s="52">
        <v>1.0</v>
      </c>
      <c r="F44" s="52">
        <f>C44*D44*E44</f>
        <v>65536</v>
      </c>
      <c r="G44" s="53">
        <f>(F44*K6)/(1024*1024)</f>
        <v>0.25</v>
      </c>
      <c r="H44" s="2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1"/>
      <c r="B45" s="12" t="s">
        <v>56</v>
      </c>
      <c r="C45" s="52">
        <f>K12</f>
        <v>1024</v>
      </c>
      <c r="D45" s="52">
        <f>K7</f>
        <v>64</v>
      </c>
      <c r="E45" s="52">
        <f>K9</f>
        <v>4</v>
      </c>
      <c r="F45" s="52">
        <f>E45*D45*C45</f>
        <v>262144</v>
      </c>
      <c r="G45" s="53">
        <f>F45*K6/(1024*1024)</f>
        <v>1</v>
      </c>
      <c r="H45" s="2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7"/>
      <c r="B46" s="12" t="s">
        <v>65</v>
      </c>
      <c r="C46" s="52">
        <v>3.0</v>
      </c>
      <c r="D46" s="52">
        <f>K7</f>
        <v>64</v>
      </c>
      <c r="E46" s="52">
        <f>K8*K10</f>
        <v>128</v>
      </c>
      <c r="F46" s="52">
        <f>C46*D46*E46</f>
        <v>24576</v>
      </c>
      <c r="G46" s="53">
        <f>F46*K6/(1024*1024)</f>
        <v>0.09375</v>
      </c>
      <c r="H46" s="2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55" t="s">
        <v>69</v>
      </c>
      <c r="F47" s="56">
        <f>F42+F43+F46+F45</f>
        <v>157450240</v>
      </c>
      <c r="G47" s="57">
        <f>G42+((G43+G44+G45+G46)/1024)</f>
        <v>0.5867919922</v>
      </c>
      <c r="H47" s="10" t="s">
        <v>52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" t="s">
        <v>90</v>
      </c>
      <c r="B50" s="5" t="s">
        <v>2</v>
      </c>
      <c r="C50" s="6" t="s">
        <v>3</v>
      </c>
      <c r="D50" s="7"/>
      <c r="E50" s="8"/>
      <c r="F50" s="5" t="s">
        <v>47</v>
      </c>
      <c r="G50" s="9" t="s">
        <v>91</v>
      </c>
      <c r="H50" s="5" t="s">
        <v>72</v>
      </c>
      <c r="I50" s="5" t="s">
        <v>73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8" t="s">
        <v>92</v>
      </c>
      <c r="B51" s="12" t="s">
        <v>93</v>
      </c>
      <c r="C51" s="20">
        <f>K13</f>
        <v>2048</v>
      </c>
      <c r="D51" s="13">
        <f>K7</f>
        <v>64</v>
      </c>
      <c r="E51" s="13">
        <v>1.0</v>
      </c>
      <c r="F51" s="13">
        <f t="shared" ref="F51:F59" si="20">C51*D51*E51</f>
        <v>131072</v>
      </c>
      <c r="G51" s="13">
        <f>F51*K8*K9*K10</f>
        <v>67108864</v>
      </c>
      <c r="H51" s="10">
        <f>G51*K6/(1024*1024)</f>
        <v>256</v>
      </c>
      <c r="I51" s="70">
        <f>G51*K6/(1000*1000)</f>
        <v>268.435456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1"/>
      <c r="B52" s="12" t="s">
        <v>94</v>
      </c>
      <c r="C52" s="20">
        <f>K13</f>
        <v>2048</v>
      </c>
      <c r="D52" s="13">
        <f>K7</f>
        <v>64</v>
      </c>
      <c r="E52" s="13">
        <v>1.0</v>
      </c>
      <c r="F52" s="13">
        <f t="shared" si="20"/>
        <v>131072</v>
      </c>
      <c r="G52" s="13">
        <f>F52*K8*K9*K10</f>
        <v>67108864</v>
      </c>
      <c r="H52" s="10">
        <f>G52*K6/(1024*1024)</f>
        <v>256</v>
      </c>
      <c r="I52" s="70">
        <f>G52*K6/(1000*1000)</f>
        <v>268.435456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1"/>
      <c r="B53" s="12" t="s">
        <v>95</v>
      </c>
      <c r="C53" s="13">
        <f>K7</f>
        <v>64</v>
      </c>
      <c r="D53" s="20">
        <f>K13</f>
        <v>2048</v>
      </c>
      <c r="E53" s="13">
        <v>1.0</v>
      </c>
      <c r="F53" s="13">
        <f t="shared" si="20"/>
        <v>131072</v>
      </c>
      <c r="G53" s="13">
        <f>F53*K8*K9*K10</f>
        <v>67108864</v>
      </c>
      <c r="H53" s="10">
        <f>G53*K6/(1024*1024)</f>
        <v>256</v>
      </c>
      <c r="I53" s="70">
        <f>G53*K6/(1000*1000)</f>
        <v>268.435456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7"/>
      <c r="B54" s="12" t="s">
        <v>96</v>
      </c>
      <c r="C54" s="13">
        <f>K7</f>
        <v>64</v>
      </c>
      <c r="D54" s="20">
        <f>K13</f>
        <v>2048</v>
      </c>
      <c r="E54" s="13">
        <v>1.0</v>
      </c>
      <c r="F54" s="13">
        <f t="shared" si="20"/>
        <v>131072</v>
      </c>
      <c r="G54" s="13">
        <f>F54*K8*K9*K10</f>
        <v>67108864</v>
      </c>
      <c r="H54" s="10">
        <f>G54*K6/(1024*1024)</f>
        <v>256</v>
      </c>
      <c r="I54" s="70">
        <f>G54*K6/(1000*1000)</f>
        <v>268.435456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8" t="s">
        <v>97</v>
      </c>
      <c r="B55" s="12" t="s">
        <v>25</v>
      </c>
      <c r="C55" s="13">
        <f>K7</f>
        <v>64</v>
      </c>
      <c r="D55" s="13">
        <f>K7</f>
        <v>64</v>
      </c>
      <c r="E55" s="13">
        <f>K11-1</f>
        <v>3</v>
      </c>
      <c r="F55" s="13">
        <f t="shared" si="20"/>
        <v>12288</v>
      </c>
      <c r="G55" s="13">
        <f>F55*K8*K9*K10</f>
        <v>6291456</v>
      </c>
      <c r="H55" s="10">
        <f>G55*K6/(1024*1024)</f>
        <v>24</v>
      </c>
      <c r="I55" s="70">
        <f>G55*K6/(1000*1000)</f>
        <v>25.165824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7"/>
      <c r="B56" s="12" t="s">
        <v>27</v>
      </c>
      <c r="C56" s="13">
        <f>K7</f>
        <v>64</v>
      </c>
      <c r="D56" s="13">
        <f>K7</f>
        <v>64</v>
      </c>
      <c r="E56" s="13">
        <f>K11-1</f>
        <v>3</v>
      </c>
      <c r="F56" s="13">
        <f t="shared" si="20"/>
        <v>12288</v>
      </c>
      <c r="G56" s="13">
        <f>F56*K8*K9*K10</f>
        <v>6291456</v>
      </c>
      <c r="H56" s="10">
        <f>G56*K6/(1024*1024)</f>
        <v>24</v>
      </c>
      <c r="I56" s="70">
        <f>G56*K6/(1000*1000)</f>
        <v>25.165824</v>
      </c>
      <c r="J56" s="1"/>
      <c r="K56" s="1"/>
      <c r="L56" s="1"/>
      <c r="M56" s="7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8" t="s">
        <v>74</v>
      </c>
      <c r="B57" s="12" t="s">
        <v>75</v>
      </c>
      <c r="C57" s="13">
        <f>K7</f>
        <v>64</v>
      </c>
      <c r="D57" s="13">
        <f>K7</f>
        <v>64</v>
      </c>
      <c r="E57" s="13">
        <v>1.0</v>
      </c>
      <c r="F57" s="13">
        <f t="shared" si="20"/>
        <v>4096</v>
      </c>
      <c r="G57" s="13">
        <f>F57*K8*K9*K10</f>
        <v>2097152</v>
      </c>
      <c r="H57" s="10">
        <f>G57*K6/(1024*1024)</f>
        <v>8</v>
      </c>
      <c r="I57" s="70">
        <f>G57*K6/(1000*1000)</f>
        <v>8.388608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1"/>
      <c r="B58" s="12" t="s">
        <v>76</v>
      </c>
      <c r="C58" s="13">
        <f>K7</f>
        <v>64</v>
      </c>
      <c r="D58" s="13">
        <f>K7</f>
        <v>64</v>
      </c>
      <c r="E58" s="13">
        <v>1.0</v>
      </c>
      <c r="F58" s="13">
        <f t="shared" si="20"/>
        <v>4096</v>
      </c>
      <c r="G58" s="13">
        <f>F58*K8*K9*K10</f>
        <v>2097152</v>
      </c>
      <c r="H58" s="10">
        <f>G58*K6/(1024*1024)</f>
        <v>8</v>
      </c>
      <c r="I58" s="70">
        <f>G58*K6/(1000*1000)</f>
        <v>8.388608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7"/>
      <c r="B59" s="12" t="s">
        <v>78</v>
      </c>
      <c r="C59" s="13">
        <f>K7</f>
        <v>64</v>
      </c>
      <c r="D59" s="13">
        <f>K7</f>
        <v>64</v>
      </c>
      <c r="E59" s="13">
        <v>1.0</v>
      </c>
      <c r="F59" s="13">
        <f t="shared" si="20"/>
        <v>4096</v>
      </c>
      <c r="G59" s="13">
        <f>F59*K8*K9*K10</f>
        <v>2097152</v>
      </c>
      <c r="H59" s="10">
        <f>G59*K6/(1024*1024)</f>
        <v>8</v>
      </c>
      <c r="I59" s="70">
        <f>G59*K6/(1000*1000)</f>
        <v>8.388608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72" t="s">
        <v>98</v>
      </c>
      <c r="B60" s="7"/>
      <c r="C60" s="7"/>
      <c r="D60" s="7"/>
      <c r="E60" s="8"/>
      <c r="F60" s="56">
        <f t="shared" ref="F60:I60" si="21">SUM(F51:F59)</f>
        <v>561152</v>
      </c>
      <c r="G60" s="55">
        <f t="shared" si="21"/>
        <v>287309824</v>
      </c>
      <c r="H60" s="55">
        <f t="shared" si="21"/>
        <v>1096</v>
      </c>
      <c r="I60" s="73">
        <f t="shared" si="21"/>
        <v>1149.239296</v>
      </c>
      <c r="J60" s="71"/>
      <c r="K60" s="7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G261" s="74"/>
    </row>
    <row r="262" ht="15.75" customHeight="1">
      <c r="G262" s="74"/>
    </row>
    <row r="263" ht="15.75" customHeight="1">
      <c r="G263" s="74"/>
    </row>
    <row r="264" ht="15.75" customHeight="1">
      <c r="G264" s="74"/>
    </row>
    <row r="265" ht="15.75" customHeight="1">
      <c r="G265" s="74"/>
    </row>
    <row r="266" ht="15.75" customHeight="1">
      <c r="G266" s="74"/>
    </row>
    <row r="267" ht="15.75" customHeight="1">
      <c r="G267" s="74"/>
    </row>
    <row r="268" ht="15.75" customHeight="1">
      <c r="G268" s="74"/>
    </row>
    <row r="269" ht="15.75" customHeight="1">
      <c r="G269" s="74"/>
    </row>
    <row r="270" ht="15.75" customHeight="1">
      <c r="G270" s="74"/>
    </row>
    <row r="271" ht="15.75" customHeight="1">
      <c r="G271" s="74"/>
    </row>
    <row r="272" ht="15.75" customHeight="1">
      <c r="G272" s="74"/>
    </row>
    <row r="273" ht="15.75" customHeight="1">
      <c r="G273" s="74"/>
    </row>
    <row r="274" ht="15.75" customHeight="1">
      <c r="G274" s="74"/>
    </row>
    <row r="275" ht="15.75" customHeight="1">
      <c r="G275" s="74"/>
    </row>
    <row r="276" ht="15.75" customHeight="1">
      <c r="G276" s="74"/>
    </row>
    <row r="277" ht="15.75" customHeight="1">
      <c r="G277" s="74"/>
    </row>
    <row r="278" ht="15.75" customHeight="1">
      <c r="G278" s="74"/>
    </row>
    <row r="279" ht="15.75" customHeight="1">
      <c r="G279" s="74"/>
    </row>
    <row r="280" ht="15.75" customHeight="1">
      <c r="G280" s="74"/>
    </row>
    <row r="281" ht="15.75" customHeight="1">
      <c r="G281" s="74"/>
    </row>
    <row r="282" ht="15.75" customHeight="1">
      <c r="G282" s="74"/>
    </row>
    <row r="283" ht="15.75" customHeight="1">
      <c r="G283" s="74"/>
    </row>
    <row r="284" ht="15.75" customHeight="1">
      <c r="G284" s="74"/>
    </row>
    <row r="285" ht="15.75" customHeight="1">
      <c r="G285" s="74"/>
    </row>
    <row r="286" ht="15.75" customHeight="1">
      <c r="G286" s="74"/>
    </row>
    <row r="287" ht="15.75" customHeight="1">
      <c r="G287" s="74"/>
    </row>
    <row r="288" ht="15.75" customHeight="1">
      <c r="G288" s="74"/>
    </row>
    <row r="289" ht="15.75" customHeight="1">
      <c r="G289" s="74"/>
    </row>
    <row r="290" ht="15.75" customHeight="1">
      <c r="G290" s="74"/>
    </row>
    <row r="291" ht="15.75" customHeight="1">
      <c r="G291" s="74"/>
    </row>
    <row r="292" ht="15.75" customHeight="1">
      <c r="G292" s="74"/>
    </row>
    <row r="293" ht="15.75" customHeight="1">
      <c r="G293" s="74"/>
    </row>
    <row r="294" ht="15.75" customHeight="1">
      <c r="G294" s="74"/>
    </row>
    <row r="295" ht="15.75" customHeight="1">
      <c r="G295" s="74"/>
    </row>
    <row r="296" ht="15.75" customHeight="1">
      <c r="G296" s="74"/>
    </row>
    <row r="297" ht="15.75" customHeight="1">
      <c r="G297" s="74"/>
    </row>
    <row r="298" ht="15.75" customHeight="1">
      <c r="G298" s="74"/>
    </row>
    <row r="299" ht="15.75" customHeight="1">
      <c r="G299" s="74"/>
    </row>
    <row r="300" ht="15.75" customHeight="1">
      <c r="G300" s="74"/>
    </row>
    <row r="301" ht="15.75" customHeight="1">
      <c r="G301" s="74"/>
    </row>
    <row r="302" ht="15.75" customHeight="1">
      <c r="G302" s="74"/>
    </row>
    <row r="303" ht="15.75" customHeight="1">
      <c r="G303" s="74"/>
    </row>
    <row r="304" ht="15.75" customHeight="1">
      <c r="G304" s="74"/>
    </row>
    <row r="305" ht="15.75" customHeight="1">
      <c r="G305" s="74"/>
    </row>
    <row r="306" ht="15.75" customHeight="1">
      <c r="G306" s="74"/>
    </row>
    <row r="307" ht="15.75" customHeight="1">
      <c r="G307" s="74"/>
    </row>
    <row r="308" ht="15.75" customHeight="1">
      <c r="G308" s="74"/>
    </row>
    <row r="309" ht="15.75" customHeight="1">
      <c r="G309" s="74"/>
    </row>
    <row r="310" ht="15.75" customHeight="1">
      <c r="G310" s="74"/>
    </row>
    <row r="311" ht="15.75" customHeight="1">
      <c r="G311" s="74"/>
    </row>
    <row r="312" ht="15.75" customHeight="1">
      <c r="G312" s="74"/>
    </row>
    <row r="313" ht="15.75" customHeight="1">
      <c r="G313" s="74"/>
    </row>
    <row r="314" ht="15.75" customHeight="1">
      <c r="G314" s="74"/>
    </row>
    <row r="315" ht="15.75" customHeight="1">
      <c r="G315" s="74"/>
    </row>
    <row r="316" ht="15.75" customHeight="1">
      <c r="G316" s="74"/>
    </row>
    <row r="317" ht="15.75" customHeight="1">
      <c r="G317" s="74"/>
    </row>
    <row r="318" ht="15.75" customHeight="1">
      <c r="G318" s="74"/>
    </row>
    <row r="319" ht="15.75" customHeight="1">
      <c r="G319" s="74"/>
    </row>
    <row r="320" ht="15.75" customHeight="1">
      <c r="G320" s="74"/>
    </row>
    <row r="321" ht="15.75" customHeight="1">
      <c r="G321" s="74"/>
    </row>
    <row r="322" ht="15.75" customHeight="1">
      <c r="G322" s="74"/>
    </row>
    <row r="323" ht="15.75" customHeight="1">
      <c r="G323" s="74"/>
    </row>
    <row r="324" ht="15.75" customHeight="1">
      <c r="G324" s="74"/>
    </row>
    <row r="325" ht="15.75" customHeight="1">
      <c r="G325" s="74"/>
    </row>
    <row r="326" ht="15.75" customHeight="1">
      <c r="G326" s="74"/>
    </row>
    <row r="327" ht="15.75" customHeight="1">
      <c r="G327" s="74"/>
    </row>
    <row r="328" ht="15.75" customHeight="1">
      <c r="G328" s="74"/>
    </row>
    <row r="329" ht="15.75" customHeight="1">
      <c r="G329" s="74"/>
    </row>
    <row r="330" ht="15.75" customHeight="1">
      <c r="G330" s="74"/>
    </row>
    <row r="331" ht="15.75" customHeight="1">
      <c r="G331" s="74"/>
    </row>
    <row r="332" ht="15.75" customHeight="1">
      <c r="G332" s="74"/>
    </row>
    <row r="333" ht="15.75" customHeight="1">
      <c r="G333" s="74"/>
    </row>
    <row r="334" ht="15.75" customHeight="1">
      <c r="G334" s="74"/>
    </row>
    <row r="335" ht="15.75" customHeight="1">
      <c r="G335" s="74"/>
    </row>
    <row r="336" ht="15.75" customHeight="1">
      <c r="G336" s="74"/>
    </row>
    <row r="337" ht="15.75" customHeight="1">
      <c r="G337" s="74"/>
    </row>
    <row r="338" ht="15.75" customHeight="1">
      <c r="G338" s="74"/>
    </row>
    <row r="339" ht="15.75" customHeight="1">
      <c r="G339" s="74"/>
    </row>
    <row r="340" ht="15.75" customHeight="1">
      <c r="G340" s="74"/>
    </row>
    <row r="341" ht="15.75" customHeight="1">
      <c r="G341" s="74"/>
    </row>
    <row r="342" ht="15.75" customHeight="1">
      <c r="G342" s="74"/>
    </row>
    <row r="343" ht="15.75" customHeight="1">
      <c r="G343" s="74"/>
    </row>
    <row r="344" ht="15.75" customHeight="1">
      <c r="G344" s="74"/>
    </row>
    <row r="345" ht="15.75" customHeight="1">
      <c r="G345" s="74"/>
    </row>
    <row r="346" ht="15.75" customHeight="1">
      <c r="G346" s="74"/>
    </row>
    <row r="347" ht="15.75" customHeight="1">
      <c r="G347" s="74"/>
    </row>
    <row r="348" ht="15.75" customHeight="1">
      <c r="G348" s="74"/>
    </row>
    <row r="349" ht="15.75" customHeight="1">
      <c r="G349" s="74"/>
    </row>
    <row r="350" ht="15.75" customHeight="1">
      <c r="G350" s="74"/>
    </row>
    <row r="351" ht="15.75" customHeight="1">
      <c r="G351" s="74"/>
    </row>
    <row r="352" ht="15.75" customHeight="1">
      <c r="G352" s="74"/>
    </row>
    <row r="353" ht="15.75" customHeight="1">
      <c r="G353" s="74"/>
    </row>
    <row r="354" ht="15.75" customHeight="1">
      <c r="G354" s="74"/>
    </row>
    <row r="355" ht="15.75" customHeight="1">
      <c r="G355" s="74"/>
    </row>
    <row r="356" ht="15.75" customHeight="1">
      <c r="G356" s="74"/>
    </row>
    <row r="357" ht="15.75" customHeight="1">
      <c r="G357" s="74"/>
    </row>
    <row r="358" ht="15.75" customHeight="1">
      <c r="G358" s="74"/>
    </row>
    <row r="359" ht="15.75" customHeight="1">
      <c r="G359" s="74"/>
    </row>
    <row r="360" ht="15.75" customHeight="1">
      <c r="G360" s="74"/>
    </row>
    <row r="361" ht="15.75" customHeight="1">
      <c r="G361" s="74"/>
    </row>
    <row r="362" ht="15.75" customHeight="1">
      <c r="G362" s="74"/>
    </row>
    <row r="363" ht="15.75" customHeight="1">
      <c r="G363" s="74"/>
    </row>
    <row r="364" ht="15.75" customHeight="1">
      <c r="G364" s="74"/>
    </row>
    <row r="365" ht="15.75" customHeight="1">
      <c r="G365" s="74"/>
    </row>
    <row r="366" ht="15.75" customHeight="1">
      <c r="G366" s="74"/>
    </row>
    <row r="367" ht="15.75" customHeight="1">
      <c r="G367" s="74"/>
    </row>
    <row r="368" ht="15.75" customHeight="1">
      <c r="G368" s="74"/>
    </row>
    <row r="369" ht="15.75" customHeight="1">
      <c r="G369" s="74"/>
    </row>
    <row r="370" ht="15.75" customHeight="1">
      <c r="G370" s="74"/>
    </row>
    <row r="371" ht="15.75" customHeight="1">
      <c r="G371" s="74"/>
    </row>
    <row r="372" ht="15.75" customHeight="1">
      <c r="G372" s="74"/>
    </row>
    <row r="373" ht="15.75" customHeight="1">
      <c r="G373" s="74"/>
    </row>
    <row r="374" ht="15.75" customHeight="1">
      <c r="G374" s="74"/>
    </row>
    <row r="375" ht="15.75" customHeight="1">
      <c r="G375" s="74"/>
    </row>
    <row r="376" ht="15.75" customHeight="1">
      <c r="G376" s="74"/>
    </row>
    <row r="377" ht="15.75" customHeight="1">
      <c r="G377" s="74"/>
    </row>
    <row r="378" ht="15.75" customHeight="1">
      <c r="G378" s="74"/>
    </row>
    <row r="379" ht="15.75" customHeight="1">
      <c r="G379" s="74"/>
    </row>
    <row r="380" ht="15.75" customHeight="1">
      <c r="G380" s="74"/>
    </row>
    <row r="381" ht="15.75" customHeight="1">
      <c r="G381" s="74"/>
    </row>
    <row r="382" ht="15.75" customHeight="1">
      <c r="G382" s="74"/>
    </row>
    <row r="383" ht="15.75" customHeight="1">
      <c r="G383" s="74"/>
    </row>
    <row r="384" ht="15.75" customHeight="1">
      <c r="G384" s="74"/>
    </row>
    <row r="385" ht="15.75" customHeight="1">
      <c r="G385" s="74"/>
    </row>
    <row r="386" ht="15.75" customHeight="1">
      <c r="G386" s="74"/>
    </row>
    <row r="387" ht="15.75" customHeight="1">
      <c r="G387" s="74"/>
    </row>
    <row r="388" ht="15.75" customHeight="1">
      <c r="G388" s="74"/>
    </row>
    <row r="389" ht="15.75" customHeight="1">
      <c r="G389" s="74"/>
    </row>
    <row r="390" ht="15.75" customHeight="1">
      <c r="G390" s="74"/>
    </row>
    <row r="391" ht="15.75" customHeight="1">
      <c r="G391" s="74"/>
    </row>
    <row r="392" ht="15.75" customHeight="1">
      <c r="G392" s="74"/>
    </row>
    <row r="393" ht="15.75" customHeight="1">
      <c r="G393" s="74"/>
    </row>
    <row r="394" ht="15.75" customHeight="1">
      <c r="G394" s="74"/>
    </row>
    <row r="395" ht="15.75" customHeight="1">
      <c r="G395" s="74"/>
    </row>
    <row r="396" ht="15.75" customHeight="1">
      <c r="G396" s="74"/>
    </row>
    <row r="397" ht="15.75" customHeight="1">
      <c r="G397" s="74"/>
    </row>
    <row r="398" ht="15.75" customHeight="1">
      <c r="G398" s="74"/>
    </row>
    <row r="399" ht="15.75" customHeight="1">
      <c r="G399" s="74"/>
    </row>
    <row r="400" ht="15.75" customHeight="1">
      <c r="G400" s="74"/>
    </row>
    <row r="401" ht="15.75" customHeight="1">
      <c r="G401" s="74"/>
    </row>
    <row r="402" ht="15.75" customHeight="1">
      <c r="G402" s="74"/>
    </row>
    <row r="403" ht="15.75" customHeight="1">
      <c r="G403" s="74"/>
    </row>
    <row r="404" ht="15.75" customHeight="1">
      <c r="G404" s="74"/>
    </row>
    <row r="405" ht="15.75" customHeight="1">
      <c r="G405" s="74"/>
    </row>
    <row r="406" ht="15.75" customHeight="1">
      <c r="G406" s="74"/>
    </row>
    <row r="407" ht="15.75" customHeight="1">
      <c r="G407" s="74"/>
    </row>
    <row r="408" ht="15.75" customHeight="1">
      <c r="G408" s="74"/>
    </row>
    <row r="409" ht="15.75" customHeight="1">
      <c r="G409" s="74"/>
    </row>
    <row r="410" ht="15.75" customHeight="1">
      <c r="G410" s="74"/>
    </row>
    <row r="411" ht="15.75" customHeight="1">
      <c r="G411" s="74"/>
    </row>
    <row r="412" ht="15.75" customHeight="1">
      <c r="G412" s="74"/>
    </row>
    <row r="413" ht="15.75" customHeight="1">
      <c r="G413" s="74"/>
    </row>
    <row r="414" ht="15.75" customHeight="1">
      <c r="G414" s="74"/>
    </row>
    <row r="415" ht="15.75" customHeight="1">
      <c r="G415" s="74"/>
    </row>
    <row r="416" ht="15.75" customHeight="1">
      <c r="G416" s="74"/>
    </row>
    <row r="417" ht="15.75" customHeight="1">
      <c r="G417" s="74"/>
    </row>
    <row r="418" ht="15.75" customHeight="1">
      <c r="G418" s="74"/>
    </row>
    <row r="419" ht="15.75" customHeight="1">
      <c r="G419" s="74"/>
    </row>
    <row r="420" ht="15.75" customHeight="1">
      <c r="G420" s="74"/>
    </row>
    <row r="421" ht="15.75" customHeight="1">
      <c r="G421" s="74"/>
    </row>
    <row r="422" ht="15.75" customHeight="1">
      <c r="G422" s="74"/>
    </row>
    <row r="423" ht="15.75" customHeight="1">
      <c r="G423" s="74"/>
    </row>
    <row r="424" ht="15.75" customHeight="1">
      <c r="G424" s="74"/>
    </row>
    <row r="425" ht="15.75" customHeight="1">
      <c r="G425" s="74"/>
    </row>
    <row r="426" ht="15.75" customHeight="1">
      <c r="G426" s="74"/>
    </row>
    <row r="427" ht="15.75" customHeight="1">
      <c r="G427" s="74"/>
    </row>
    <row r="428" ht="15.75" customHeight="1">
      <c r="G428" s="74"/>
    </row>
    <row r="429" ht="15.75" customHeight="1">
      <c r="G429" s="74"/>
    </row>
    <row r="430" ht="15.75" customHeight="1">
      <c r="G430" s="74"/>
    </row>
    <row r="431" ht="15.75" customHeight="1">
      <c r="G431" s="74"/>
    </row>
    <row r="432" ht="15.75" customHeight="1">
      <c r="G432" s="74"/>
    </row>
    <row r="433" ht="15.75" customHeight="1">
      <c r="G433" s="74"/>
    </row>
    <row r="434" ht="15.75" customHeight="1">
      <c r="G434" s="74"/>
    </row>
    <row r="435" ht="15.75" customHeight="1">
      <c r="G435" s="74"/>
    </row>
    <row r="436" ht="15.75" customHeight="1">
      <c r="G436" s="74"/>
    </row>
    <row r="437" ht="15.75" customHeight="1">
      <c r="G437" s="74"/>
    </row>
    <row r="438" ht="15.75" customHeight="1">
      <c r="G438" s="74"/>
    </row>
    <row r="439" ht="15.75" customHeight="1">
      <c r="G439" s="74"/>
    </row>
    <row r="440" ht="15.75" customHeight="1">
      <c r="G440" s="74"/>
    </row>
    <row r="441" ht="15.75" customHeight="1">
      <c r="G441" s="74"/>
    </row>
    <row r="442" ht="15.75" customHeight="1">
      <c r="G442" s="74"/>
    </row>
    <row r="443" ht="15.75" customHeight="1">
      <c r="G443" s="74"/>
    </row>
    <row r="444" ht="15.75" customHeight="1">
      <c r="G444" s="74"/>
    </row>
    <row r="445" ht="15.75" customHeight="1">
      <c r="G445" s="74"/>
    </row>
    <row r="446" ht="15.75" customHeight="1">
      <c r="G446" s="74"/>
    </row>
    <row r="447" ht="15.75" customHeight="1">
      <c r="G447" s="74"/>
    </row>
    <row r="448" ht="15.75" customHeight="1">
      <c r="G448" s="74"/>
    </row>
    <row r="449" ht="15.75" customHeight="1">
      <c r="G449" s="74"/>
    </row>
    <row r="450" ht="15.75" customHeight="1">
      <c r="G450" s="74"/>
    </row>
    <row r="451" ht="15.75" customHeight="1">
      <c r="G451" s="74"/>
    </row>
    <row r="452" ht="15.75" customHeight="1">
      <c r="G452" s="74"/>
    </row>
    <row r="453" ht="15.75" customHeight="1">
      <c r="G453" s="74"/>
    </row>
    <row r="454" ht="15.75" customHeight="1">
      <c r="G454" s="74"/>
    </row>
    <row r="455" ht="15.75" customHeight="1">
      <c r="G455" s="74"/>
    </row>
    <row r="456" ht="15.75" customHeight="1">
      <c r="G456" s="74"/>
    </row>
    <row r="457" ht="15.75" customHeight="1">
      <c r="G457" s="74"/>
    </row>
    <row r="458" ht="15.75" customHeight="1">
      <c r="G458" s="74"/>
    </row>
    <row r="459" ht="15.75" customHeight="1">
      <c r="G459" s="74"/>
    </row>
    <row r="460" ht="15.75" customHeight="1">
      <c r="G460" s="74"/>
    </row>
    <row r="461" ht="15.75" customHeight="1">
      <c r="G461" s="74"/>
    </row>
    <row r="462" ht="15.75" customHeight="1">
      <c r="G462" s="74"/>
    </row>
    <row r="463" ht="15.75" customHeight="1">
      <c r="G463" s="74"/>
    </row>
    <row r="464" ht="15.75" customHeight="1">
      <c r="G464" s="74"/>
    </row>
    <row r="465" ht="15.75" customHeight="1">
      <c r="G465" s="74"/>
    </row>
    <row r="466" ht="15.75" customHeight="1">
      <c r="G466" s="74"/>
    </row>
    <row r="467" ht="15.75" customHeight="1">
      <c r="G467" s="74"/>
    </row>
    <row r="468" ht="15.75" customHeight="1">
      <c r="G468" s="74"/>
    </row>
    <row r="469" ht="15.75" customHeight="1">
      <c r="G469" s="74"/>
    </row>
    <row r="470" ht="15.75" customHeight="1">
      <c r="G470" s="74"/>
    </row>
    <row r="471" ht="15.75" customHeight="1">
      <c r="G471" s="74"/>
    </row>
    <row r="472" ht="15.75" customHeight="1">
      <c r="G472" s="74"/>
    </row>
    <row r="473" ht="15.75" customHeight="1">
      <c r="G473" s="74"/>
    </row>
    <row r="474" ht="15.75" customHeight="1">
      <c r="G474" s="74"/>
    </row>
    <row r="475" ht="15.75" customHeight="1">
      <c r="G475" s="74"/>
    </row>
    <row r="476" ht="15.75" customHeight="1">
      <c r="G476" s="74"/>
    </row>
    <row r="477" ht="15.75" customHeight="1">
      <c r="G477" s="74"/>
    </row>
    <row r="478" ht="15.75" customHeight="1">
      <c r="G478" s="74"/>
    </row>
    <row r="479" ht="15.75" customHeight="1">
      <c r="G479" s="74"/>
    </row>
    <row r="480" ht="15.75" customHeight="1">
      <c r="G480" s="74"/>
    </row>
    <row r="481" ht="15.75" customHeight="1">
      <c r="G481" s="74"/>
    </row>
    <row r="482" ht="15.75" customHeight="1">
      <c r="G482" s="74"/>
    </row>
    <row r="483" ht="15.75" customHeight="1">
      <c r="G483" s="74"/>
    </row>
    <row r="484" ht="15.75" customHeight="1">
      <c r="G484" s="74"/>
    </row>
    <row r="485" ht="15.75" customHeight="1">
      <c r="G485" s="74"/>
    </row>
    <row r="486" ht="15.75" customHeight="1">
      <c r="G486" s="74"/>
    </row>
    <row r="487" ht="15.75" customHeight="1">
      <c r="G487" s="74"/>
    </row>
    <row r="488" ht="15.75" customHeight="1">
      <c r="G488" s="74"/>
    </row>
    <row r="489" ht="15.75" customHeight="1">
      <c r="G489" s="74"/>
    </row>
    <row r="490" ht="15.75" customHeight="1">
      <c r="G490" s="74"/>
    </row>
    <row r="491" ht="15.75" customHeight="1">
      <c r="G491" s="74"/>
    </row>
    <row r="492" ht="15.75" customHeight="1">
      <c r="G492" s="74"/>
    </row>
    <row r="493" ht="15.75" customHeight="1">
      <c r="G493" s="74"/>
    </row>
    <row r="494" ht="15.75" customHeight="1">
      <c r="G494" s="74"/>
    </row>
    <row r="495" ht="15.75" customHeight="1">
      <c r="G495" s="74"/>
    </row>
    <row r="496" ht="15.75" customHeight="1">
      <c r="G496" s="74"/>
    </row>
    <row r="497" ht="15.75" customHeight="1">
      <c r="G497" s="74"/>
    </row>
    <row r="498" ht="15.75" customHeight="1">
      <c r="G498" s="74"/>
    </row>
    <row r="499" ht="15.75" customHeight="1">
      <c r="G499" s="74"/>
    </row>
    <row r="500" ht="15.75" customHeight="1">
      <c r="G500" s="74"/>
    </row>
    <row r="501" ht="15.75" customHeight="1">
      <c r="G501" s="74"/>
    </row>
    <row r="502" ht="15.75" customHeight="1">
      <c r="G502" s="74"/>
    </row>
    <row r="503" ht="15.75" customHeight="1">
      <c r="G503" s="74"/>
    </row>
    <row r="504" ht="15.75" customHeight="1">
      <c r="G504" s="74"/>
    </row>
    <row r="505" ht="15.75" customHeight="1">
      <c r="G505" s="74"/>
    </row>
    <row r="506" ht="15.75" customHeight="1">
      <c r="G506" s="74"/>
    </row>
    <row r="507" ht="15.75" customHeight="1">
      <c r="G507" s="74"/>
    </row>
    <row r="508" ht="15.75" customHeight="1">
      <c r="G508" s="74"/>
    </row>
    <row r="509" ht="15.75" customHeight="1">
      <c r="G509" s="74"/>
    </row>
    <row r="510" ht="15.75" customHeight="1">
      <c r="G510" s="74"/>
    </row>
    <row r="511" ht="15.75" customHeight="1">
      <c r="G511" s="74"/>
    </row>
    <row r="512" ht="15.75" customHeight="1">
      <c r="G512" s="74"/>
    </row>
    <row r="513" ht="15.75" customHeight="1">
      <c r="G513" s="74"/>
    </row>
    <row r="514" ht="15.75" customHeight="1">
      <c r="G514" s="74"/>
    </row>
    <row r="515" ht="15.75" customHeight="1">
      <c r="G515" s="74"/>
    </row>
    <row r="516" ht="15.75" customHeight="1">
      <c r="G516" s="74"/>
    </row>
    <row r="517" ht="15.75" customHeight="1">
      <c r="G517" s="74"/>
    </row>
    <row r="518" ht="15.75" customHeight="1">
      <c r="G518" s="74"/>
    </row>
    <row r="519" ht="15.75" customHeight="1">
      <c r="G519" s="74"/>
    </row>
    <row r="520" ht="15.75" customHeight="1">
      <c r="G520" s="74"/>
    </row>
    <row r="521" ht="15.75" customHeight="1">
      <c r="G521" s="74"/>
    </row>
    <row r="522" ht="15.75" customHeight="1">
      <c r="G522" s="74"/>
    </row>
    <row r="523" ht="15.75" customHeight="1">
      <c r="G523" s="74"/>
    </row>
    <row r="524" ht="15.75" customHeight="1">
      <c r="G524" s="74"/>
    </row>
    <row r="525" ht="15.75" customHeight="1">
      <c r="G525" s="74"/>
    </row>
    <row r="526" ht="15.75" customHeight="1">
      <c r="G526" s="74"/>
    </row>
    <row r="527" ht="15.75" customHeight="1">
      <c r="G527" s="74"/>
    </row>
    <row r="528" ht="15.75" customHeight="1">
      <c r="G528" s="74"/>
    </row>
    <row r="529" ht="15.75" customHeight="1">
      <c r="G529" s="74"/>
    </row>
    <row r="530" ht="15.75" customHeight="1">
      <c r="G530" s="74"/>
    </row>
    <row r="531" ht="15.75" customHeight="1">
      <c r="G531" s="74"/>
    </row>
    <row r="532" ht="15.75" customHeight="1">
      <c r="G532" s="74"/>
    </row>
    <row r="533" ht="15.75" customHeight="1">
      <c r="G533" s="74"/>
    </row>
    <row r="534" ht="15.75" customHeight="1">
      <c r="G534" s="74"/>
    </row>
    <row r="535" ht="15.75" customHeight="1">
      <c r="G535" s="74"/>
    </row>
    <row r="536" ht="15.75" customHeight="1">
      <c r="G536" s="74"/>
    </row>
    <row r="537" ht="15.75" customHeight="1">
      <c r="G537" s="74"/>
    </row>
    <row r="538" ht="15.75" customHeight="1">
      <c r="G538" s="74"/>
    </row>
    <row r="539" ht="15.75" customHeight="1">
      <c r="G539" s="74"/>
    </row>
    <row r="540" ht="15.75" customHeight="1">
      <c r="G540" s="74"/>
    </row>
    <row r="541" ht="15.75" customHeight="1">
      <c r="G541" s="74"/>
    </row>
    <row r="542" ht="15.75" customHeight="1">
      <c r="G542" s="74"/>
    </row>
    <row r="543" ht="15.75" customHeight="1">
      <c r="G543" s="74"/>
    </row>
    <row r="544" ht="15.75" customHeight="1">
      <c r="G544" s="74"/>
    </row>
    <row r="545" ht="15.75" customHeight="1">
      <c r="G545" s="74"/>
    </row>
    <row r="546" ht="15.75" customHeight="1">
      <c r="G546" s="74"/>
    </row>
    <row r="547" ht="15.75" customHeight="1">
      <c r="G547" s="74"/>
    </row>
    <row r="548" ht="15.75" customHeight="1">
      <c r="G548" s="74"/>
    </row>
    <row r="549" ht="15.75" customHeight="1">
      <c r="G549" s="74"/>
    </row>
    <row r="550" ht="15.75" customHeight="1">
      <c r="G550" s="74"/>
    </row>
    <row r="551" ht="15.75" customHeight="1">
      <c r="G551" s="74"/>
    </row>
    <row r="552" ht="15.75" customHeight="1">
      <c r="G552" s="74"/>
    </row>
    <row r="553" ht="15.75" customHeight="1">
      <c r="G553" s="74"/>
    </row>
    <row r="554" ht="15.75" customHeight="1">
      <c r="G554" s="74"/>
    </row>
    <row r="555" ht="15.75" customHeight="1">
      <c r="G555" s="74"/>
    </row>
    <row r="556" ht="15.75" customHeight="1">
      <c r="G556" s="74"/>
    </row>
    <row r="557" ht="15.75" customHeight="1">
      <c r="G557" s="74"/>
    </row>
    <row r="558" ht="15.75" customHeight="1">
      <c r="G558" s="74"/>
    </row>
    <row r="559" ht="15.75" customHeight="1">
      <c r="G559" s="74"/>
    </row>
    <row r="560" ht="15.75" customHeight="1">
      <c r="G560" s="74"/>
    </row>
    <row r="561" ht="15.75" customHeight="1">
      <c r="G561" s="74"/>
    </row>
    <row r="562" ht="15.75" customHeight="1">
      <c r="G562" s="74"/>
    </row>
    <row r="563" ht="15.75" customHeight="1">
      <c r="G563" s="74"/>
    </row>
    <row r="564" ht="15.75" customHeight="1">
      <c r="G564" s="74"/>
    </row>
    <row r="565" ht="15.75" customHeight="1">
      <c r="G565" s="74"/>
    </row>
    <row r="566" ht="15.75" customHeight="1">
      <c r="G566" s="74"/>
    </row>
    <row r="567" ht="15.75" customHeight="1">
      <c r="G567" s="74"/>
    </row>
    <row r="568" ht="15.75" customHeight="1">
      <c r="G568" s="74"/>
    </row>
    <row r="569" ht="15.75" customHeight="1">
      <c r="G569" s="74"/>
    </row>
    <row r="570" ht="15.75" customHeight="1">
      <c r="G570" s="74"/>
    </row>
    <row r="571" ht="15.75" customHeight="1">
      <c r="G571" s="74"/>
    </row>
    <row r="572" ht="15.75" customHeight="1">
      <c r="G572" s="74"/>
    </row>
    <row r="573" ht="15.75" customHeight="1">
      <c r="G573" s="74"/>
    </row>
    <row r="574" ht="15.75" customHeight="1">
      <c r="G574" s="74"/>
    </row>
    <row r="575" ht="15.75" customHeight="1">
      <c r="G575" s="74"/>
    </row>
    <row r="576" ht="15.75" customHeight="1">
      <c r="G576" s="74"/>
    </row>
    <row r="577" ht="15.75" customHeight="1">
      <c r="G577" s="74"/>
    </row>
    <row r="578" ht="15.75" customHeight="1">
      <c r="G578" s="74"/>
    </row>
    <row r="579" ht="15.75" customHeight="1">
      <c r="G579" s="74"/>
    </row>
    <row r="580" ht="15.75" customHeight="1">
      <c r="G580" s="74"/>
    </row>
    <row r="581" ht="15.75" customHeight="1">
      <c r="G581" s="74"/>
    </row>
    <row r="582" ht="15.75" customHeight="1">
      <c r="G582" s="74"/>
    </row>
    <row r="583" ht="15.75" customHeight="1">
      <c r="G583" s="74"/>
    </row>
    <row r="584" ht="15.75" customHeight="1">
      <c r="G584" s="74"/>
    </row>
    <row r="585" ht="15.75" customHeight="1">
      <c r="G585" s="74"/>
    </row>
    <row r="586" ht="15.75" customHeight="1">
      <c r="G586" s="74"/>
    </row>
    <row r="587" ht="15.75" customHeight="1">
      <c r="G587" s="74"/>
    </row>
    <row r="588" ht="15.75" customHeight="1">
      <c r="G588" s="74"/>
    </row>
    <row r="589" ht="15.75" customHeight="1">
      <c r="G589" s="74"/>
    </row>
    <row r="590" ht="15.75" customHeight="1">
      <c r="G590" s="74"/>
    </row>
    <row r="591" ht="15.75" customHeight="1">
      <c r="G591" s="74"/>
    </row>
    <row r="592" ht="15.75" customHeight="1">
      <c r="G592" s="74"/>
    </row>
    <row r="593" ht="15.75" customHeight="1">
      <c r="G593" s="74"/>
    </row>
    <row r="594" ht="15.75" customHeight="1">
      <c r="G594" s="74"/>
    </row>
    <row r="595" ht="15.75" customHeight="1">
      <c r="G595" s="74"/>
    </row>
    <row r="596" ht="15.75" customHeight="1">
      <c r="G596" s="74"/>
    </row>
    <row r="597" ht="15.75" customHeight="1">
      <c r="G597" s="74"/>
    </row>
    <row r="598" ht="15.75" customHeight="1">
      <c r="G598" s="74"/>
    </row>
    <row r="599" ht="15.75" customHeight="1">
      <c r="G599" s="74"/>
    </row>
    <row r="600" ht="15.75" customHeight="1">
      <c r="G600" s="74"/>
    </row>
    <row r="601" ht="15.75" customHeight="1">
      <c r="G601" s="74"/>
    </row>
    <row r="602" ht="15.75" customHeight="1">
      <c r="G602" s="74"/>
    </row>
    <row r="603" ht="15.75" customHeight="1">
      <c r="G603" s="74"/>
    </row>
    <row r="604" ht="15.75" customHeight="1">
      <c r="G604" s="74"/>
    </row>
    <row r="605" ht="15.75" customHeight="1">
      <c r="G605" s="74"/>
    </row>
    <row r="606" ht="15.75" customHeight="1">
      <c r="G606" s="74"/>
    </row>
    <row r="607" ht="15.75" customHeight="1">
      <c r="G607" s="74"/>
    </row>
    <row r="608" ht="15.75" customHeight="1">
      <c r="G608" s="74"/>
    </row>
    <row r="609" ht="15.75" customHeight="1">
      <c r="G609" s="74"/>
    </row>
    <row r="610" ht="15.75" customHeight="1">
      <c r="G610" s="74"/>
    </row>
    <row r="611" ht="15.75" customHeight="1">
      <c r="G611" s="74"/>
    </row>
    <row r="612" ht="15.75" customHeight="1">
      <c r="G612" s="74"/>
    </row>
    <row r="613" ht="15.75" customHeight="1">
      <c r="G613" s="74"/>
    </row>
    <row r="614" ht="15.75" customHeight="1">
      <c r="G614" s="74"/>
    </row>
    <row r="615" ht="15.75" customHeight="1">
      <c r="G615" s="74"/>
    </row>
    <row r="616" ht="15.75" customHeight="1">
      <c r="G616" s="74"/>
    </row>
    <row r="617" ht="15.75" customHeight="1">
      <c r="G617" s="74"/>
    </row>
    <row r="618" ht="15.75" customHeight="1">
      <c r="G618" s="74"/>
    </row>
    <row r="619" ht="15.75" customHeight="1">
      <c r="G619" s="74"/>
    </row>
    <row r="620" ht="15.75" customHeight="1">
      <c r="G620" s="74"/>
    </row>
    <row r="621" ht="15.75" customHeight="1">
      <c r="G621" s="74"/>
    </row>
    <row r="622" ht="15.75" customHeight="1">
      <c r="G622" s="74"/>
    </row>
    <row r="623" ht="15.75" customHeight="1">
      <c r="G623" s="74"/>
    </row>
    <row r="624" ht="15.75" customHeight="1">
      <c r="G624" s="74"/>
    </row>
    <row r="625" ht="15.75" customHeight="1">
      <c r="G625" s="74"/>
    </row>
    <row r="626" ht="15.75" customHeight="1">
      <c r="G626" s="74"/>
    </row>
    <row r="627" ht="15.75" customHeight="1">
      <c r="G627" s="74"/>
    </row>
    <row r="628" ht="15.75" customHeight="1">
      <c r="G628" s="74"/>
    </row>
    <row r="629" ht="15.75" customHeight="1">
      <c r="G629" s="74"/>
    </row>
    <row r="630" ht="15.75" customHeight="1">
      <c r="G630" s="74"/>
    </row>
    <row r="631" ht="15.75" customHeight="1">
      <c r="G631" s="74"/>
    </row>
    <row r="632" ht="15.75" customHeight="1">
      <c r="G632" s="74"/>
    </row>
    <row r="633" ht="15.75" customHeight="1">
      <c r="G633" s="74"/>
    </row>
    <row r="634" ht="15.75" customHeight="1">
      <c r="G634" s="74"/>
    </row>
    <row r="635" ht="15.75" customHeight="1">
      <c r="G635" s="74"/>
    </row>
    <row r="636" ht="15.75" customHeight="1">
      <c r="G636" s="74"/>
    </row>
    <row r="637" ht="15.75" customHeight="1">
      <c r="G637" s="74"/>
    </row>
    <row r="638" ht="15.75" customHeight="1">
      <c r="G638" s="74"/>
    </row>
    <row r="639" ht="15.75" customHeight="1">
      <c r="G639" s="74"/>
    </row>
    <row r="640" ht="15.75" customHeight="1">
      <c r="G640" s="74"/>
    </row>
    <row r="641" ht="15.75" customHeight="1">
      <c r="G641" s="74"/>
    </row>
    <row r="642" ht="15.75" customHeight="1">
      <c r="G642" s="74"/>
    </row>
    <row r="643" ht="15.75" customHeight="1">
      <c r="G643" s="74"/>
    </row>
    <row r="644" ht="15.75" customHeight="1">
      <c r="G644" s="74"/>
    </row>
    <row r="645" ht="15.75" customHeight="1">
      <c r="G645" s="74"/>
    </row>
    <row r="646" ht="15.75" customHeight="1">
      <c r="G646" s="74"/>
    </row>
    <row r="647" ht="15.75" customHeight="1">
      <c r="G647" s="74"/>
    </row>
    <row r="648" ht="15.75" customHeight="1">
      <c r="G648" s="74"/>
    </row>
    <row r="649" ht="15.75" customHeight="1">
      <c r="G649" s="74"/>
    </row>
    <row r="650" ht="15.75" customHeight="1">
      <c r="G650" s="74"/>
    </row>
    <row r="651" ht="15.75" customHeight="1">
      <c r="G651" s="74"/>
    </row>
    <row r="652" ht="15.75" customHeight="1">
      <c r="G652" s="74"/>
    </row>
    <row r="653" ht="15.75" customHeight="1">
      <c r="G653" s="74"/>
    </row>
    <row r="654" ht="15.75" customHeight="1">
      <c r="G654" s="74"/>
    </row>
    <row r="655" ht="15.75" customHeight="1">
      <c r="G655" s="74"/>
    </row>
    <row r="656" ht="15.75" customHeight="1">
      <c r="G656" s="74"/>
    </row>
    <row r="657" ht="15.75" customHeight="1">
      <c r="G657" s="74"/>
    </row>
    <row r="658" ht="15.75" customHeight="1">
      <c r="G658" s="74"/>
    </row>
    <row r="659" ht="15.75" customHeight="1">
      <c r="G659" s="74"/>
    </row>
    <row r="660" ht="15.75" customHeight="1">
      <c r="G660" s="74"/>
    </row>
    <row r="661" ht="15.75" customHeight="1">
      <c r="G661" s="74"/>
    </row>
    <row r="662" ht="15.75" customHeight="1">
      <c r="G662" s="74"/>
    </row>
    <row r="663" ht="15.75" customHeight="1">
      <c r="G663" s="74"/>
    </row>
    <row r="664" ht="15.75" customHeight="1">
      <c r="G664" s="74"/>
    </row>
    <row r="665" ht="15.75" customHeight="1">
      <c r="G665" s="74"/>
    </row>
    <row r="666" ht="15.75" customHeight="1">
      <c r="G666" s="74"/>
    </row>
    <row r="667" ht="15.75" customHeight="1">
      <c r="G667" s="74"/>
    </row>
    <row r="668" ht="15.75" customHeight="1">
      <c r="G668" s="74"/>
    </row>
    <row r="669" ht="15.75" customHeight="1">
      <c r="G669" s="74"/>
    </row>
    <row r="670" ht="15.75" customHeight="1">
      <c r="G670" s="74"/>
    </row>
    <row r="671" ht="15.75" customHeight="1">
      <c r="G671" s="74"/>
    </row>
    <row r="672" ht="15.75" customHeight="1">
      <c r="G672" s="74"/>
    </row>
    <row r="673" ht="15.75" customHeight="1">
      <c r="G673" s="74"/>
    </row>
    <row r="674" ht="15.75" customHeight="1">
      <c r="G674" s="74"/>
    </row>
    <row r="675" ht="15.75" customHeight="1">
      <c r="G675" s="74"/>
    </row>
    <row r="676" ht="15.75" customHeight="1">
      <c r="G676" s="74"/>
    </row>
    <row r="677" ht="15.75" customHeight="1">
      <c r="G677" s="74"/>
    </row>
    <row r="678" ht="15.75" customHeight="1">
      <c r="G678" s="74"/>
    </row>
    <row r="679" ht="15.75" customHeight="1">
      <c r="G679" s="74"/>
    </row>
    <row r="680" ht="15.75" customHeight="1">
      <c r="G680" s="74"/>
    </row>
    <row r="681" ht="15.75" customHeight="1">
      <c r="G681" s="74"/>
    </row>
    <row r="682" ht="15.75" customHeight="1">
      <c r="G682" s="74"/>
    </row>
    <row r="683" ht="15.75" customHeight="1">
      <c r="G683" s="74"/>
    </row>
    <row r="684" ht="15.75" customHeight="1">
      <c r="G684" s="74"/>
    </row>
    <row r="685" ht="15.75" customHeight="1">
      <c r="G685" s="74"/>
    </row>
    <row r="686" ht="15.75" customHeight="1">
      <c r="G686" s="74"/>
    </row>
    <row r="687" ht="15.75" customHeight="1">
      <c r="G687" s="74"/>
    </row>
    <row r="688" ht="15.75" customHeight="1">
      <c r="G688" s="74"/>
    </row>
    <row r="689" ht="15.75" customHeight="1">
      <c r="G689" s="74"/>
    </row>
    <row r="690" ht="15.75" customHeight="1">
      <c r="G690" s="74"/>
    </row>
    <row r="691" ht="15.75" customHeight="1">
      <c r="G691" s="74"/>
    </row>
    <row r="692" ht="15.75" customHeight="1">
      <c r="G692" s="74"/>
    </row>
    <row r="693" ht="15.75" customHeight="1">
      <c r="G693" s="74"/>
    </row>
    <row r="694" ht="15.75" customHeight="1">
      <c r="G694" s="74"/>
    </row>
    <row r="695" ht="15.75" customHeight="1">
      <c r="G695" s="74"/>
    </row>
    <row r="696" ht="15.75" customHeight="1">
      <c r="G696" s="74"/>
    </row>
    <row r="697" ht="15.75" customHeight="1">
      <c r="G697" s="74"/>
    </row>
    <row r="698" ht="15.75" customHeight="1">
      <c r="G698" s="74"/>
    </row>
    <row r="699" ht="15.75" customHeight="1">
      <c r="G699" s="74"/>
    </row>
    <row r="700" ht="15.75" customHeight="1">
      <c r="G700" s="74"/>
    </row>
    <row r="701" ht="15.75" customHeight="1">
      <c r="G701" s="74"/>
    </row>
    <row r="702" ht="15.75" customHeight="1">
      <c r="G702" s="74"/>
    </row>
    <row r="703" ht="15.75" customHeight="1">
      <c r="G703" s="74"/>
    </row>
    <row r="704" ht="15.75" customHeight="1">
      <c r="G704" s="74"/>
    </row>
    <row r="705" ht="15.75" customHeight="1">
      <c r="G705" s="74"/>
    </row>
    <row r="706" ht="15.75" customHeight="1">
      <c r="G706" s="74"/>
    </row>
    <row r="707" ht="15.75" customHeight="1">
      <c r="G707" s="74"/>
    </row>
    <row r="708" ht="15.75" customHeight="1">
      <c r="G708" s="74"/>
    </row>
    <row r="709" ht="15.75" customHeight="1">
      <c r="G709" s="74"/>
    </row>
    <row r="710" ht="15.75" customHeight="1">
      <c r="G710" s="74"/>
    </row>
    <row r="711" ht="15.75" customHeight="1">
      <c r="G711" s="74"/>
    </row>
    <row r="712" ht="15.75" customHeight="1">
      <c r="G712" s="74"/>
    </row>
    <row r="713" ht="15.75" customHeight="1">
      <c r="G713" s="74"/>
    </row>
    <row r="714" ht="15.75" customHeight="1">
      <c r="G714" s="74"/>
    </row>
    <row r="715" ht="15.75" customHeight="1">
      <c r="G715" s="74"/>
    </row>
    <row r="716" ht="15.75" customHeight="1">
      <c r="G716" s="74"/>
    </row>
    <row r="717" ht="15.75" customHeight="1">
      <c r="G717" s="74"/>
    </row>
    <row r="718" ht="15.75" customHeight="1">
      <c r="G718" s="74"/>
    </row>
    <row r="719" ht="15.75" customHeight="1">
      <c r="G719" s="74"/>
    </row>
    <row r="720" ht="15.75" customHeight="1">
      <c r="G720" s="74"/>
    </row>
    <row r="721" ht="15.75" customHeight="1">
      <c r="G721" s="74"/>
    </row>
    <row r="722" ht="15.75" customHeight="1">
      <c r="G722" s="74"/>
    </row>
    <row r="723" ht="15.75" customHeight="1">
      <c r="G723" s="74"/>
    </row>
    <row r="724" ht="15.75" customHeight="1">
      <c r="G724" s="74"/>
    </row>
    <row r="725" ht="15.75" customHeight="1">
      <c r="G725" s="74"/>
    </row>
    <row r="726" ht="15.75" customHeight="1">
      <c r="G726" s="74"/>
    </row>
    <row r="727" ht="15.75" customHeight="1">
      <c r="G727" s="74"/>
    </row>
    <row r="728" ht="15.75" customHeight="1">
      <c r="G728" s="74"/>
    </row>
    <row r="729" ht="15.75" customHeight="1">
      <c r="G729" s="74"/>
    </row>
    <row r="730" ht="15.75" customHeight="1">
      <c r="G730" s="74"/>
    </row>
    <row r="731" ht="15.75" customHeight="1">
      <c r="G731" s="74"/>
    </row>
    <row r="732" ht="15.75" customHeight="1">
      <c r="G732" s="74"/>
    </row>
    <row r="733" ht="15.75" customHeight="1">
      <c r="G733" s="74"/>
    </row>
    <row r="734" ht="15.75" customHeight="1">
      <c r="G734" s="74"/>
    </row>
    <row r="735" ht="15.75" customHeight="1">
      <c r="G735" s="74"/>
    </row>
    <row r="736" ht="15.75" customHeight="1">
      <c r="G736" s="74"/>
    </row>
    <row r="737" ht="15.75" customHeight="1">
      <c r="G737" s="74"/>
    </row>
    <row r="738" ht="15.75" customHeight="1">
      <c r="G738" s="74"/>
    </row>
    <row r="739" ht="15.75" customHeight="1">
      <c r="G739" s="74"/>
    </row>
    <row r="740" ht="15.75" customHeight="1">
      <c r="G740" s="74"/>
    </row>
    <row r="741" ht="15.75" customHeight="1">
      <c r="G741" s="74"/>
    </row>
    <row r="742" ht="15.75" customHeight="1">
      <c r="G742" s="74"/>
    </row>
    <row r="743" ht="15.75" customHeight="1">
      <c r="G743" s="74"/>
    </row>
    <row r="744" ht="15.75" customHeight="1">
      <c r="G744" s="74"/>
    </row>
    <row r="745" ht="15.75" customHeight="1">
      <c r="G745" s="74"/>
    </row>
    <row r="746" ht="15.75" customHeight="1">
      <c r="G746" s="74"/>
    </row>
    <row r="747" ht="15.75" customHeight="1">
      <c r="G747" s="74"/>
    </row>
    <row r="748" ht="15.75" customHeight="1">
      <c r="G748" s="74"/>
    </row>
    <row r="749" ht="15.75" customHeight="1">
      <c r="G749" s="74"/>
    </row>
    <row r="750" ht="15.75" customHeight="1">
      <c r="G750" s="74"/>
    </row>
    <row r="751" ht="15.75" customHeight="1">
      <c r="G751" s="74"/>
    </row>
    <row r="752" ht="15.75" customHeight="1">
      <c r="G752" s="74"/>
    </row>
    <row r="753" ht="15.75" customHeight="1">
      <c r="G753" s="74"/>
    </row>
    <row r="754" ht="15.75" customHeight="1">
      <c r="G754" s="74"/>
    </row>
    <row r="755" ht="15.75" customHeight="1">
      <c r="G755" s="74"/>
    </row>
    <row r="756" ht="15.75" customHeight="1">
      <c r="G756" s="74"/>
    </row>
    <row r="757" ht="15.75" customHeight="1">
      <c r="G757" s="74"/>
    </row>
    <row r="758" ht="15.75" customHeight="1">
      <c r="G758" s="74"/>
    </row>
    <row r="759" ht="15.75" customHeight="1">
      <c r="G759" s="74"/>
    </row>
    <row r="760" ht="15.75" customHeight="1">
      <c r="G760" s="74"/>
    </row>
    <row r="761" ht="15.75" customHeight="1">
      <c r="G761" s="74"/>
    </row>
    <row r="762" ht="15.75" customHeight="1">
      <c r="G762" s="74"/>
    </row>
    <row r="763" ht="15.75" customHeight="1">
      <c r="G763" s="74"/>
    </row>
    <row r="764" ht="15.75" customHeight="1">
      <c r="G764" s="74"/>
    </row>
    <row r="765" ht="15.75" customHeight="1">
      <c r="G765" s="74"/>
    </row>
    <row r="766" ht="15.75" customHeight="1">
      <c r="G766" s="74"/>
    </row>
    <row r="767" ht="15.75" customHeight="1">
      <c r="G767" s="74"/>
    </row>
    <row r="768" ht="15.75" customHeight="1">
      <c r="G768" s="74"/>
    </row>
    <row r="769" ht="15.75" customHeight="1">
      <c r="G769" s="74"/>
    </row>
    <row r="770" ht="15.75" customHeight="1">
      <c r="G770" s="74"/>
    </row>
    <row r="771" ht="15.75" customHeight="1">
      <c r="G771" s="74"/>
    </row>
    <row r="772" ht="15.75" customHeight="1">
      <c r="G772" s="74"/>
    </row>
    <row r="773" ht="15.75" customHeight="1">
      <c r="G773" s="74"/>
    </row>
    <row r="774" ht="15.75" customHeight="1">
      <c r="G774" s="74"/>
    </row>
    <row r="775" ht="15.75" customHeight="1">
      <c r="G775" s="74"/>
    </row>
    <row r="776" ht="15.75" customHeight="1">
      <c r="G776" s="74"/>
    </row>
    <row r="777" ht="15.75" customHeight="1">
      <c r="G777" s="74"/>
    </row>
    <row r="778" ht="15.75" customHeight="1">
      <c r="G778" s="74"/>
    </row>
    <row r="779" ht="15.75" customHeight="1">
      <c r="G779" s="74"/>
    </row>
    <row r="780" ht="15.75" customHeight="1">
      <c r="G780" s="74"/>
    </row>
    <row r="781" ht="15.75" customHeight="1">
      <c r="G781" s="74"/>
    </row>
    <row r="782" ht="15.75" customHeight="1">
      <c r="G782" s="74"/>
    </row>
    <row r="783" ht="15.75" customHeight="1">
      <c r="G783" s="74"/>
    </row>
    <row r="784" ht="15.75" customHeight="1">
      <c r="G784" s="74"/>
    </row>
    <row r="785" ht="15.75" customHeight="1">
      <c r="G785" s="74"/>
    </row>
    <row r="786" ht="15.75" customHeight="1">
      <c r="G786" s="74"/>
    </row>
    <row r="787" ht="15.75" customHeight="1">
      <c r="G787" s="74"/>
    </row>
    <row r="788" ht="15.75" customHeight="1">
      <c r="G788" s="74"/>
    </row>
    <row r="789" ht="15.75" customHeight="1">
      <c r="G789" s="74"/>
    </row>
    <row r="790" ht="15.75" customHeight="1">
      <c r="G790" s="74"/>
    </row>
    <row r="791" ht="15.75" customHeight="1">
      <c r="G791" s="74"/>
    </row>
    <row r="792" ht="15.75" customHeight="1">
      <c r="G792" s="74"/>
    </row>
    <row r="793" ht="15.75" customHeight="1">
      <c r="G793" s="74"/>
    </row>
    <row r="794" ht="15.75" customHeight="1">
      <c r="G794" s="74"/>
    </row>
    <row r="795" ht="15.75" customHeight="1">
      <c r="G795" s="74"/>
    </row>
    <row r="796" ht="15.75" customHeight="1">
      <c r="G796" s="74"/>
    </row>
    <row r="797" ht="15.75" customHeight="1">
      <c r="G797" s="74"/>
    </row>
    <row r="798" ht="15.75" customHeight="1">
      <c r="G798" s="74"/>
    </row>
    <row r="799" ht="15.75" customHeight="1">
      <c r="G799" s="74"/>
    </row>
    <row r="800" ht="15.75" customHeight="1">
      <c r="G800" s="74"/>
    </row>
    <row r="801" ht="15.75" customHeight="1">
      <c r="G801" s="74"/>
    </row>
    <row r="802" ht="15.75" customHeight="1">
      <c r="G802" s="74"/>
    </row>
    <row r="803" ht="15.75" customHeight="1">
      <c r="G803" s="74"/>
    </row>
    <row r="804" ht="15.75" customHeight="1">
      <c r="G804" s="74"/>
    </row>
    <row r="805" ht="15.75" customHeight="1">
      <c r="G805" s="74"/>
    </row>
    <row r="806" ht="15.75" customHeight="1">
      <c r="G806" s="74"/>
    </row>
    <row r="807" ht="15.75" customHeight="1">
      <c r="G807" s="74"/>
    </row>
    <row r="808" ht="15.75" customHeight="1">
      <c r="G808" s="74"/>
    </row>
    <row r="809" ht="15.75" customHeight="1">
      <c r="G809" s="74"/>
    </row>
    <row r="810" ht="15.75" customHeight="1">
      <c r="G810" s="74"/>
    </row>
    <row r="811" ht="15.75" customHeight="1">
      <c r="G811" s="74"/>
    </row>
    <row r="812" ht="15.75" customHeight="1">
      <c r="G812" s="74"/>
    </row>
    <row r="813" ht="15.75" customHeight="1">
      <c r="G813" s="74"/>
    </row>
    <row r="814" ht="15.75" customHeight="1">
      <c r="G814" s="74"/>
    </row>
    <row r="815" ht="15.75" customHeight="1">
      <c r="G815" s="74"/>
    </row>
    <row r="816" ht="15.75" customHeight="1">
      <c r="G816" s="74"/>
    </row>
    <row r="817" ht="15.75" customHeight="1">
      <c r="G817" s="74"/>
    </row>
    <row r="818" ht="15.75" customHeight="1">
      <c r="G818" s="74"/>
    </row>
    <row r="819" ht="15.75" customHeight="1">
      <c r="G819" s="74"/>
    </row>
    <row r="820" ht="15.75" customHeight="1">
      <c r="G820" s="74"/>
    </row>
    <row r="821" ht="15.75" customHeight="1">
      <c r="G821" s="74"/>
    </row>
    <row r="822" ht="15.75" customHeight="1">
      <c r="G822" s="74"/>
    </row>
    <row r="823" ht="15.75" customHeight="1">
      <c r="G823" s="74"/>
    </row>
    <row r="824" ht="15.75" customHeight="1">
      <c r="G824" s="74"/>
    </row>
    <row r="825" ht="15.75" customHeight="1">
      <c r="G825" s="74"/>
    </row>
    <row r="826" ht="15.75" customHeight="1">
      <c r="G826" s="74"/>
    </row>
    <row r="827" ht="15.75" customHeight="1">
      <c r="G827" s="74"/>
    </row>
    <row r="828" ht="15.75" customHeight="1">
      <c r="G828" s="74"/>
    </row>
    <row r="829" ht="15.75" customHeight="1">
      <c r="G829" s="74"/>
    </row>
    <row r="830" ht="15.75" customHeight="1">
      <c r="G830" s="74"/>
    </row>
    <row r="831" ht="15.75" customHeight="1">
      <c r="G831" s="74"/>
    </row>
    <row r="832" ht="15.75" customHeight="1">
      <c r="G832" s="74"/>
    </row>
    <row r="833" ht="15.75" customHeight="1">
      <c r="G833" s="74"/>
    </row>
    <row r="834" ht="15.75" customHeight="1">
      <c r="G834" s="74"/>
    </row>
    <row r="835" ht="15.75" customHeight="1">
      <c r="G835" s="74"/>
    </row>
    <row r="836" ht="15.75" customHeight="1">
      <c r="G836" s="74"/>
    </row>
    <row r="837" ht="15.75" customHeight="1">
      <c r="G837" s="74"/>
    </row>
    <row r="838" ht="15.75" customHeight="1">
      <c r="G838" s="74"/>
    </row>
    <row r="839" ht="15.75" customHeight="1">
      <c r="G839" s="74"/>
    </row>
    <row r="840" ht="15.75" customHeight="1">
      <c r="G840" s="74"/>
    </row>
    <row r="841" ht="15.75" customHeight="1">
      <c r="G841" s="74"/>
    </row>
    <row r="842" ht="15.75" customHeight="1">
      <c r="G842" s="74"/>
    </row>
    <row r="843" ht="15.75" customHeight="1">
      <c r="G843" s="74"/>
    </row>
    <row r="844" ht="15.75" customHeight="1">
      <c r="G844" s="74"/>
    </row>
    <row r="845" ht="15.75" customHeight="1">
      <c r="G845" s="74"/>
    </row>
    <row r="846" ht="15.75" customHeight="1">
      <c r="G846" s="74"/>
    </row>
    <row r="847" ht="15.75" customHeight="1">
      <c r="G847" s="74"/>
    </row>
    <row r="848" ht="15.75" customHeight="1">
      <c r="G848" s="74"/>
    </row>
    <row r="849" ht="15.75" customHeight="1">
      <c r="G849" s="74"/>
    </row>
    <row r="850" ht="15.75" customHeight="1">
      <c r="G850" s="74"/>
    </row>
    <row r="851" ht="15.75" customHeight="1">
      <c r="G851" s="74"/>
    </row>
    <row r="852" ht="15.75" customHeight="1">
      <c r="G852" s="74"/>
    </row>
    <row r="853" ht="15.75" customHeight="1">
      <c r="G853" s="74"/>
    </row>
    <row r="854" ht="15.75" customHeight="1">
      <c r="G854" s="74"/>
    </row>
    <row r="855" ht="15.75" customHeight="1">
      <c r="G855" s="74"/>
    </row>
    <row r="856" ht="15.75" customHeight="1">
      <c r="G856" s="74"/>
    </row>
    <row r="857" ht="15.75" customHeight="1">
      <c r="G857" s="74"/>
    </row>
    <row r="858" ht="15.75" customHeight="1">
      <c r="G858" s="74"/>
    </row>
    <row r="859" ht="15.75" customHeight="1">
      <c r="G859" s="74"/>
    </row>
    <row r="860" ht="15.75" customHeight="1">
      <c r="G860" s="74"/>
    </row>
    <row r="861" ht="15.75" customHeight="1">
      <c r="G861" s="74"/>
    </row>
    <row r="862" ht="15.75" customHeight="1">
      <c r="G862" s="74"/>
    </row>
    <row r="863" ht="15.75" customHeight="1">
      <c r="G863" s="74"/>
    </row>
    <row r="864" ht="15.75" customHeight="1">
      <c r="G864" s="74"/>
    </row>
    <row r="865" ht="15.75" customHeight="1">
      <c r="G865" s="74"/>
    </row>
    <row r="866" ht="15.75" customHeight="1">
      <c r="G866" s="74"/>
    </row>
    <row r="867" ht="15.75" customHeight="1">
      <c r="G867" s="74"/>
    </row>
    <row r="868" ht="15.75" customHeight="1">
      <c r="G868" s="74"/>
    </row>
    <row r="869" ht="15.75" customHeight="1">
      <c r="G869" s="74"/>
    </row>
    <row r="870" ht="15.75" customHeight="1">
      <c r="G870" s="74"/>
    </row>
    <row r="871" ht="15.75" customHeight="1">
      <c r="G871" s="74"/>
    </row>
    <row r="872" ht="15.75" customHeight="1">
      <c r="G872" s="74"/>
    </row>
    <row r="873" ht="15.75" customHeight="1">
      <c r="G873" s="74"/>
    </row>
    <row r="874" ht="15.75" customHeight="1">
      <c r="G874" s="74"/>
    </row>
    <row r="875" ht="15.75" customHeight="1">
      <c r="G875" s="74"/>
    </row>
    <row r="876" ht="15.75" customHeight="1">
      <c r="G876" s="74"/>
    </row>
    <row r="877" ht="15.75" customHeight="1">
      <c r="G877" s="74"/>
    </row>
    <row r="878" ht="15.75" customHeight="1">
      <c r="G878" s="74"/>
    </row>
    <row r="879" ht="15.75" customHeight="1">
      <c r="G879" s="74"/>
    </row>
    <row r="880" ht="15.75" customHeight="1">
      <c r="G880" s="74"/>
    </row>
    <row r="881" ht="15.75" customHeight="1">
      <c r="G881" s="74"/>
    </row>
    <row r="882" ht="15.75" customHeight="1">
      <c r="G882" s="74"/>
    </row>
    <row r="883" ht="15.75" customHeight="1">
      <c r="G883" s="74"/>
    </row>
    <row r="884" ht="15.75" customHeight="1">
      <c r="G884" s="74"/>
    </row>
    <row r="885" ht="15.75" customHeight="1">
      <c r="G885" s="74"/>
    </row>
    <row r="886" ht="15.75" customHeight="1">
      <c r="G886" s="74"/>
    </row>
    <row r="887" ht="15.75" customHeight="1">
      <c r="G887" s="74"/>
    </row>
    <row r="888" ht="15.75" customHeight="1">
      <c r="G888" s="74"/>
    </row>
    <row r="889" ht="15.75" customHeight="1">
      <c r="G889" s="74"/>
    </row>
    <row r="890" ht="15.75" customHeight="1">
      <c r="G890" s="74"/>
    </row>
    <row r="891" ht="15.75" customHeight="1">
      <c r="G891" s="74"/>
    </row>
    <row r="892" ht="15.75" customHeight="1">
      <c r="G892" s="74"/>
    </row>
    <row r="893" ht="15.75" customHeight="1">
      <c r="G893" s="74"/>
    </row>
    <row r="894" ht="15.75" customHeight="1">
      <c r="G894" s="74"/>
    </row>
    <row r="895" ht="15.75" customHeight="1">
      <c r="G895" s="74"/>
    </row>
    <row r="896" ht="15.75" customHeight="1">
      <c r="G896" s="74"/>
    </row>
    <row r="897" ht="15.75" customHeight="1">
      <c r="G897" s="74"/>
    </row>
    <row r="898" ht="15.75" customHeight="1">
      <c r="G898" s="74"/>
    </row>
    <row r="899" ht="15.75" customHeight="1">
      <c r="G899" s="74"/>
    </row>
    <row r="900" ht="15.75" customHeight="1">
      <c r="G900" s="74"/>
    </row>
    <row r="901" ht="15.75" customHeight="1">
      <c r="G901" s="74"/>
    </row>
    <row r="902" ht="15.75" customHeight="1">
      <c r="G902" s="74"/>
    </row>
    <row r="903" ht="15.75" customHeight="1">
      <c r="G903" s="74"/>
    </row>
    <row r="904" ht="15.75" customHeight="1">
      <c r="G904" s="74"/>
    </row>
    <row r="905" ht="15.75" customHeight="1">
      <c r="G905" s="74"/>
    </row>
    <row r="906" ht="15.75" customHeight="1">
      <c r="G906" s="74"/>
    </row>
    <row r="907" ht="15.75" customHeight="1">
      <c r="G907" s="74"/>
    </row>
    <row r="908" ht="15.75" customHeight="1">
      <c r="G908" s="74"/>
    </row>
    <row r="909" ht="15.75" customHeight="1">
      <c r="G909" s="74"/>
    </row>
    <row r="910" ht="15.75" customHeight="1">
      <c r="G910" s="74"/>
    </row>
    <row r="911" ht="15.75" customHeight="1">
      <c r="G911" s="74"/>
    </row>
    <row r="912" ht="15.75" customHeight="1">
      <c r="G912" s="74"/>
    </row>
    <row r="913" ht="15.75" customHeight="1">
      <c r="G913" s="74"/>
    </row>
    <row r="914" ht="15.75" customHeight="1">
      <c r="G914" s="74"/>
    </row>
    <row r="915" ht="15.75" customHeight="1">
      <c r="G915" s="74"/>
    </row>
    <row r="916" ht="15.75" customHeight="1">
      <c r="G916" s="74"/>
    </row>
    <row r="917" ht="15.75" customHeight="1">
      <c r="G917" s="74"/>
    </row>
    <row r="918" ht="15.75" customHeight="1">
      <c r="G918" s="74"/>
    </row>
    <row r="919" ht="15.75" customHeight="1">
      <c r="G919" s="74"/>
    </row>
    <row r="920" ht="15.75" customHeight="1">
      <c r="G920" s="74"/>
    </row>
    <row r="921" ht="15.75" customHeight="1">
      <c r="G921" s="74"/>
    </row>
    <row r="922" ht="15.75" customHeight="1">
      <c r="G922" s="74"/>
    </row>
    <row r="923" ht="15.75" customHeight="1">
      <c r="G923" s="74"/>
    </row>
    <row r="924" ht="15.75" customHeight="1">
      <c r="G924" s="74"/>
    </row>
    <row r="925" ht="15.75" customHeight="1">
      <c r="G925" s="74"/>
    </row>
    <row r="926" ht="15.75" customHeight="1">
      <c r="G926" s="74"/>
    </row>
    <row r="927" ht="15.75" customHeight="1">
      <c r="G927" s="74"/>
    </row>
    <row r="928" ht="15.75" customHeight="1">
      <c r="G928" s="74"/>
    </row>
    <row r="929" ht="15.75" customHeight="1">
      <c r="G929" s="74"/>
    </row>
    <row r="930" ht="15.75" customHeight="1">
      <c r="G930" s="74"/>
    </row>
    <row r="931" ht="15.75" customHeight="1">
      <c r="G931" s="74"/>
    </row>
    <row r="932" ht="15.75" customHeight="1">
      <c r="G932" s="74"/>
    </row>
    <row r="933" ht="15.75" customHeight="1">
      <c r="G933" s="74"/>
    </row>
    <row r="934" ht="15.75" customHeight="1">
      <c r="G934" s="74"/>
    </row>
    <row r="935" ht="15.75" customHeight="1">
      <c r="G935" s="74"/>
    </row>
    <row r="936" ht="15.75" customHeight="1">
      <c r="G936" s="74"/>
    </row>
    <row r="937" ht="15.75" customHeight="1">
      <c r="G937" s="74"/>
    </row>
    <row r="938" ht="15.75" customHeight="1">
      <c r="G938" s="74"/>
    </row>
    <row r="939" ht="15.75" customHeight="1">
      <c r="G939" s="74"/>
    </row>
    <row r="940" ht="15.75" customHeight="1">
      <c r="G940" s="74"/>
    </row>
    <row r="941" ht="15.75" customHeight="1">
      <c r="G941" s="74"/>
    </row>
    <row r="942" ht="15.75" customHeight="1">
      <c r="G942" s="74"/>
    </row>
    <row r="943" ht="15.75" customHeight="1">
      <c r="G943" s="74"/>
    </row>
    <row r="944" ht="15.75" customHeight="1">
      <c r="G944" s="74"/>
    </row>
    <row r="945" ht="15.75" customHeight="1">
      <c r="G945" s="74"/>
    </row>
    <row r="946" ht="15.75" customHeight="1">
      <c r="G946" s="74"/>
    </row>
    <row r="947" ht="15.75" customHeight="1">
      <c r="G947" s="74"/>
    </row>
    <row r="948" ht="15.75" customHeight="1">
      <c r="G948" s="74"/>
    </row>
    <row r="949" ht="15.75" customHeight="1">
      <c r="G949" s="74"/>
    </row>
    <row r="950" ht="15.75" customHeight="1">
      <c r="G950" s="74"/>
    </row>
    <row r="951" ht="15.75" customHeight="1">
      <c r="G951" s="74"/>
    </row>
    <row r="952" ht="15.75" customHeight="1">
      <c r="G952" s="74"/>
    </row>
    <row r="953" ht="15.75" customHeight="1">
      <c r="G953" s="74"/>
    </row>
    <row r="954" ht="15.75" customHeight="1">
      <c r="G954" s="74"/>
    </row>
    <row r="955" ht="15.75" customHeight="1">
      <c r="G955" s="74"/>
    </row>
    <row r="956" ht="15.75" customHeight="1">
      <c r="G956" s="74"/>
    </row>
    <row r="957" ht="15.75" customHeight="1">
      <c r="G957" s="74"/>
    </row>
    <row r="958" ht="15.75" customHeight="1">
      <c r="G958" s="74"/>
    </row>
    <row r="959" ht="15.75" customHeight="1">
      <c r="G959" s="74"/>
    </row>
    <row r="960" ht="15.75" customHeight="1">
      <c r="G960" s="74"/>
    </row>
    <row r="961" ht="15.75" customHeight="1">
      <c r="G961" s="74"/>
    </row>
    <row r="962" ht="15.75" customHeight="1">
      <c r="G962" s="74"/>
    </row>
    <row r="963" ht="15.75" customHeight="1">
      <c r="G963" s="74"/>
    </row>
    <row r="964" ht="15.75" customHeight="1">
      <c r="G964" s="74"/>
    </row>
    <row r="965" ht="15.75" customHeight="1">
      <c r="G965" s="74"/>
    </row>
    <row r="966" ht="15.75" customHeight="1">
      <c r="G966" s="74"/>
    </row>
    <row r="967" ht="15.75" customHeight="1">
      <c r="G967" s="74"/>
    </row>
    <row r="968" ht="15.75" customHeight="1">
      <c r="G968" s="74"/>
    </row>
    <row r="969" ht="15.75" customHeight="1">
      <c r="G969" s="74"/>
    </row>
    <row r="970" ht="15.75" customHeight="1">
      <c r="G970" s="74"/>
    </row>
    <row r="971" ht="15.75" customHeight="1">
      <c r="G971" s="74"/>
    </row>
    <row r="972" ht="15.75" customHeight="1">
      <c r="G972" s="74"/>
    </row>
    <row r="973" ht="15.75" customHeight="1">
      <c r="G973" s="74"/>
    </row>
    <row r="974" ht="15.75" customHeight="1">
      <c r="G974" s="74"/>
    </row>
    <row r="975" ht="15.75" customHeight="1">
      <c r="G975" s="74"/>
    </row>
    <row r="976" ht="15.75" customHeight="1">
      <c r="G976" s="74"/>
    </row>
    <row r="977" ht="15.75" customHeight="1">
      <c r="G977" s="74"/>
    </row>
    <row r="978" ht="15.75" customHeight="1">
      <c r="G978" s="74"/>
    </row>
    <row r="979" ht="15.75" customHeight="1">
      <c r="G979" s="74"/>
    </row>
    <row r="980" ht="15.75" customHeight="1">
      <c r="G980" s="74"/>
    </row>
    <row r="981" ht="15.75" customHeight="1">
      <c r="G981" s="74"/>
    </row>
    <row r="982" ht="15.75" customHeight="1">
      <c r="G982" s="74"/>
    </row>
    <row r="983" ht="15.75" customHeight="1">
      <c r="G983" s="74"/>
    </row>
    <row r="984" ht="15.75" customHeight="1">
      <c r="G984" s="74"/>
    </row>
    <row r="985" ht="15.75" customHeight="1">
      <c r="G985" s="74"/>
    </row>
    <row r="986" ht="15.75" customHeight="1">
      <c r="G986" s="74"/>
    </row>
    <row r="987" ht="15.75" customHeight="1">
      <c r="G987" s="74"/>
    </row>
    <row r="988" ht="15.75" customHeight="1">
      <c r="G988" s="74"/>
    </row>
    <row r="989" ht="15.75" customHeight="1">
      <c r="G989" s="74"/>
    </row>
    <row r="990" ht="15.75" customHeight="1">
      <c r="G990" s="74"/>
    </row>
    <row r="991" ht="15.75" customHeight="1">
      <c r="G991" s="74"/>
    </row>
    <row r="992" ht="15.75" customHeight="1">
      <c r="G992" s="74"/>
    </row>
    <row r="993" ht="15.75" customHeight="1">
      <c r="G993" s="74"/>
    </row>
    <row r="994" ht="15.75" customHeight="1">
      <c r="G994" s="74"/>
    </row>
    <row r="995" ht="15.75" customHeight="1">
      <c r="G995" s="74"/>
    </row>
    <row r="996" ht="15.75" customHeight="1">
      <c r="G996" s="74"/>
    </row>
    <row r="997" ht="15.75" customHeight="1">
      <c r="G997" s="74"/>
    </row>
    <row r="998" ht="15.75" customHeight="1">
      <c r="G998" s="74"/>
    </row>
    <row r="999" ht="15.75" customHeight="1">
      <c r="G999" s="74"/>
    </row>
  </sheetData>
  <mergeCells count="30">
    <mergeCell ref="H5:H20"/>
    <mergeCell ref="H22:H25"/>
    <mergeCell ref="H30:H41"/>
    <mergeCell ref="A10:A11"/>
    <mergeCell ref="A12:A18"/>
    <mergeCell ref="A22:A25"/>
    <mergeCell ref="A26:D26"/>
    <mergeCell ref="C29:E29"/>
    <mergeCell ref="A31:A33"/>
    <mergeCell ref="A34:A37"/>
    <mergeCell ref="A51:A54"/>
    <mergeCell ref="A55:A56"/>
    <mergeCell ref="A57:A59"/>
    <mergeCell ref="A60:E60"/>
    <mergeCell ref="A38:A39"/>
    <mergeCell ref="A40:D42"/>
    <mergeCell ref="J41:K41"/>
    <mergeCell ref="J42:K42"/>
    <mergeCell ref="A43:A46"/>
    <mergeCell ref="H43:H46"/>
    <mergeCell ref="C50:E50"/>
    <mergeCell ref="L4:O4"/>
    <mergeCell ref="L7:O7"/>
    <mergeCell ref="A2:O2"/>
    <mergeCell ref="C4:E4"/>
    <mergeCell ref="A6:A9"/>
    <mergeCell ref="A19:D21"/>
    <mergeCell ref="L15:O15"/>
    <mergeCell ref="L16:O16"/>
    <mergeCell ref="L12:O12"/>
  </mergeCells>
  <drawing r:id="rId1"/>
</worksheet>
</file>